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xr:revisionPtr revIDLastSave="0" documentId="8_{9F56EC3E-A5DF-4036-AA0C-7A160B293467}" xr6:coauthVersionLast="47" xr6:coauthVersionMax="47" xr10:uidLastSave="{00000000-0000-0000-0000-000000000000}"/>
  <bookViews>
    <workbookView xWindow="28680" yWindow="-120" windowWidth="29040" windowHeight="15720" xr2:uid="{53CF81F2-7C37-44C5-BB69-E7457166C6FD}"/>
  </bookViews>
  <sheets>
    <sheet name="Est vs Actuals" sheetId="1" r:id="rId1"/>
  </sheets>
  <externalReferences>
    <externalReference r:id="rId2"/>
  </externalReferences>
  <definedNames>
    <definedName name="_xlnm._FilterDatabase" localSheetId="0" hidden="1">'Est vs Actuals'!$A$7:$AV$507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8" i="1" l="1"/>
  <c r="B120" i="1"/>
  <c r="B66" i="1"/>
  <c r="B63" i="1"/>
  <c r="B58" i="1"/>
  <c r="B17" i="1"/>
  <c r="B16" i="1"/>
  <c r="B12" i="1"/>
  <c r="B11" i="1"/>
  <c r="B10" i="1"/>
  <c r="AP7" i="1"/>
  <c r="AM7" i="1"/>
  <c r="AK7" i="1"/>
  <c r="AJ7" i="1"/>
  <c r="W7" i="1"/>
  <c r="V7" i="1"/>
  <c r="S7" i="1" s="1"/>
  <c r="O7" i="1"/>
  <c r="AI7" i="1" s="1"/>
  <c r="N7" i="1"/>
  <c r="AH7" i="1" s="1"/>
  <c r="M7" i="1"/>
  <c r="AG7" i="1" s="1"/>
  <c r="AD7" i="1" s="1"/>
  <c r="J7" i="1"/>
  <c r="B6" i="1"/>
  <c r="AR5" i="1"/>
  <c r="AQ5" i="1"/>
  <c r="AP5" i="1"/>
  <c r="AI5" i="1"/>
  <c r="AH5" i="1"/>
  <c r="AG5" i="1"/>
  <c r="V5" i="1"/>
  <c r="M5" i="1"/>
  <c r="A4" i="1"/>
  <c r="A3" i="1"/>
  <c r="A2" i="1"/>
  <c r="S1" i="1" l="1"/>
  <c r="AD1" i="1"/>
  <c r="S2" i="1"/>
  <c r="AM1" i="1"/>
  <c r="J3" i="1"/>
  <c r="W5" i="1"/>
  <c r="B502" i="1"/>
  <c r="B494" i="1"/>
  <c r="B496" i="1"/>
  <c r="B506" i="1"/>
  <c r="B499" i="1"/>
  <c r="B501" i="1"/>
  <c r="B487" i="1"/>
  <c r="B495" i="1"/>
  <c r="B500" i="1"/>
  <c r="B486" i="1"/>
  <c r="B485" i="1"/>
  <c r="B480" i="1"/>
  <c r="B488" i="1"/>
  <c r="B476" i="1"/>
  <c r="B460" i="1"/>
  <c r="B482" i="1"/>
  <c r="B481" i="1"/>
  <c r="B479" i="1"/>
  <c r="B492" i="1"/>
  <c r="B470" i="1"/>
  <c r="B468" i="1"/>
  <c r="B466" i="1"/>
  <c r="B455" i="1"/>
  <c r="B463" i="1"/>
  <c r="B461" i="1"/>
  <c r="B472" i="1"/>
  <c r="B462" i="1"/>
  <c r="B444" i="1"/>
  <c r="B448" i="1"/>
  <c r="B445" i="1"/>
  <c r="B440" i="1"/>
  <c r="B432" i="1"/>
  <c r="B456" i="1"/>
  <c r="B454" i="1"/>
  <c r="B467" i="1"/>
  <c r="B452" i="1"/>
  <c r="B453" i="1"/>
  <c r="B438" i="1"/>
  <c r="B459" i="1"/>
  <c r="B446" i="1"/>
  <c r="B436" i="1"/>
  <c r="B416" i="1"/>
  <c r="B408" i="1"/>
  <c r="B400" i="1"/>
  <c r="B415" i="1"/>
  <c r="B414" i="1"/>
  <c r="B406" i="1"/>
  <c r="B437" i="1"/>
  <c r="B407" i="1"/>
  <c r="B413" i="1"/>
  <c r="B412" i="1"/>
  <c r="B384" i="1"/>
  <c r="B376" i="1"/>
  <c r="B368" i="1"/>
  <c r="B404" i="1"/>
  <c r="B383" i="1"/>
  <c r="B375" i="1"/>
  <c r="B367" i="1"/>
  <c r="B405" i="1"/>
  <c r="B398" i="1"/>
  <c r="B360" i="1"/>
  <c r="B356" i="1"/>
  <c r="B355" i="1"/>
  <c r="B350" i="1"/>
  <c r="B342" i="1"/>
  <c r="B385" i="1"/>
  <c r="B349" i="1"/>
  <c r="B341" i="1"/>
  <c r="B377" i="1"/>
  <c r="B354" i="1"/>
  <c r="B346" i="1"/>
  <c r="B338" i="1"/>
  <c r="B390" i="1"/>
  <c r="B359" i="1"/>
  <c r="B328" i="1"/>
  <c r="B343" i="1"/>
  <c r="B327" i="1"/>
  <c r="B319" i="1"/>
  <c r="B311" i="1"/>
  <c r="B303" i="1"/>
  <c r="B318" i="1"/>
  <c r="B310" i="1"/>
  <c r="B302" i="1"/>
  <c r="B369" i="1"/>
  <c r="B335" i="1"/>
  <c r="B315" i="1"/>
  <c r="B307" i="1"/>
  <c r="B351" i="1"/>
  <c r="B333" i="1"/>
  <c r="B332" i="1"/>
  <c r="B321" i="1"/>
  <c r="B313" i="1"/>
  <c r="B305" i="1"/>
  <c r="B297" i="1"/>
  <c r="B299" i="1"/>
  <c r="B284" i="1"/>
  <c r="B276" i="1"/>
  <c r="B304" i="1"/>
  <c r="B295" i="1"/>
  <c r="B288" i="1"/>
  <c r="B280" i="1"/>
  <c r="B272" i="1"/>
  <c r="B324" i="1"/>
  <c r="B320" i="1"/>
  <c r="B257" i="1"/>
  <c r="B249" i="1"/>
  <c r="B241" i="1"/>
  <c r="B256" i="1"/>
  <c r="B248" i="1"/>
  <c r="B270" i="1"/>
  <c r="B301" i="1"/>
  <c r="B286" i="1"/>
  <c r="B278" i="1"/>
  <c r="B269" i="1"/>
  <c r="B268" i="1"/>
  <c r="B261" i="1"/>
  <c r="B260" i="1"/>
  <c r="B252" i="1"/>
  <c r="B244" i="1"/>
  <c r="B312" i="1"/>
  <c r="B285" i="1"/>
  <c r="B234" i="1"/>
  <c r="B226" i="1"/>
  <c r="B218" i="1"/>
  <c r="B210" i="1"/>
  <c r="B242" i="1"/>
  <c r="B240" i="1"/>
  <c r="B238" i="1"/>
  <c r="B237" i="1"/>
  <c r="B236" i="1"/>
  <c r="B230" i="1"/>
  <c r="B222" i="1"/>
  <c r="B214" i="1"/>
  <c r="B206" i="1"/>
  <c r="B258" i="1"/>
  <c r="B219" i="1"/>
  <c r="B193" i="1"/>
  <c r="B185" i="1"/>
  <c r="B177" i="1"/>
  <c r="B169" i="1"/>
  <c r="B161" i="1"/>
  <c r="B153" i="1"/>
  <c r="B145" i="1"/>
  <c r="B137" i="1"/>
  <c r="B211" i="1"/>
  <c r="B277" i="1"/>
  <c r="B204" i="1"/>
  <c r="B203" i="1"/>
  <c r="B202" i="1"/>
  <c r="B200" i="1"/>
  <c r="B197" i="1"/>
  <c r="B189" i="1"/>
  <c r="B181" i="1"/>
  <c r="B173" i="1"/>
  <c r="B165" i="1"/>
  <c r="B157" i="1"/>
  <c r="B149" i="1"/>
  <c r="B141" i="1"/>
  <c r="B133" i="1"/>
  <c r="B250" i="1"/>
  <c r="B228" i="1"/>
  <c r="B198" i="1"/>
  <c r="B125" i="1"/>
  <c r="B118" i="1"/>
  <c r="B110" i="1"/>
  <c r="B94" i="1"/>
  <c r="B86" i="1"/>
  <c r="B220" i="1"/>
  <c r="B212" i="1"/>
  <c r="B195" i="1"/>
  <c r="B187" i="1"/>
  <c r="B179" i="1"/>
  <c r="B171" i="1"/>
  <c r="B163" i="1"/>
  <c r="B155" i="1"/>
  <c r="B147" i="1"/>
  <c r="B139" i="1"/>
  <c r="B264" i="1"/>
  <c r="B194" i="1"/>
  <c r="B186" i="1"/>
  <c r="B178" i="1"/>
  <c r="B170" i="1"/>
  <c r="B162" i="1"/>
  <c r="B154" i="1"/>
  <c r="B146" i="1"/>
  <c r="B138" i="1"/>
  <c r="B131" i="1"/>
  <c r="B104" i="1"/>
  <c r="B127" i="1"/>
  <c r="B119" i="1"/>
  <c r="B111" i="1"/>
  <c r="B77" i="1"/>
  <c r="B76" i="1"/>
  <c r="B62" i="1"/>
  <c r="B227" i="1"/>
  <c r="B135" i="1"/>
  <c r="B103" i="1"/>
  <c r="B88" i="1"/>
  <c r="B126" i="1"/>
  <c r="B95" i="1"/>
  <c r="B87" i="1"/>
  <c r="B67" i="1"/>
  <c r="B55" i="1"/>
  <c r="B53" i="1"/>
  <c r="B37" i="1"/>
  <c r="B29" i="1"/>
  <c r="B27" i="1"/>
  <c r="B25" i="1"/>
  <c r="X7" i="1"/>
  <c r="B22" i="1"/>
  <c r="B59" i="1"/>
  <c r="B108" i="1"/>
  <c r="J2" i="1"/>
  <c r="AM2" i="1"/>
  <c r="AQ7" i="1"/>
  <c r="B14" i="1"/>
  <c r="B18" i="1"/>
  <c r="B19" i="1"/>
  <c r="B23" i="1"/>
  <c r="B49" i="1"/>
  <c r="B64" i="1"/>
  <c r="B152" i="1"/>
  <c r="AR7" i="1"/>
  <c r="B13" i="1"/>
  <c r="B15" i="1"/>
  <c r="B20" i="1"/>
  <c r="B60" i="1"/>
  <c r="B81" i="1"/>
  <c r="AD2" i="1"/>
  <c r="AM3" i="1"/>
  <c r="B8" i="1"/>
  <c r="B24" i="1"/>
  <c r="B28" i="1"/>
  <c r="B30" i="1"/>
  <c r="B42" i="1"/>
  <c r="B43" i="1"/>
  <c r="B68" i="1"/>
  <c r="B79" i="1"/>
  <c r="B164" i="1"/>
  <c r="B31" i="1"/>
  <c r="B50" i="1"/>
  <c r="B51" i="1"/>
  <c r="B54" i="1"/>
  <c r="B56" i="1"/>
  <c r="B85" i="1"/>
  <c r="B112" i="1"/>
  <c r="AD3" i="1"/>
  <c r="N5" i="1"/>
  <c r="B26" i="1"/>
  <c r="B36" i="1"/>
  <c r="B44" i="1"/>
  <c r="B57" i="1"/>
  <c r="B61" i="1"/>
  <c r="B65" i="1"/>
  <c r="J1" i="1"/>
  <c r="J4" i="1" s="1"/>
  <c r="S3" i="1"/>
  <c r="S4" i="1" s="1"/>
  <c r="B32" i="1"/>
  <c r="B48" i="1"/>
  <c r="B52" i="1"/>
  <c r="B69" i="1"/>
  <c r="B74" i="1"/>
  <c r="B100" i="1"/>
  <c r="B73" i="1"/>
  <c r="B89" i="1"/>
  <c r="B93" i="1"/>
  <c r="B116" i="1"/>
  <c r="A123" i="1"/>
  <c r="B140" i="1"/>
  <c r="B192" i="1"/>
  <c r="B80" i="1"/>
  <c r="B82" i="1"/>
  <c r="B97" i="1"/>
  <c r="B101" i="1"/>
  <c r="B124" i="1"/>
  <c r="B128" i="1"/>
  <c r="B134" i="1"/>
  <c r="B168" i="1"/>
  <c r="B180" i="1"/>
  <c r="B71" i="1"/>
  <c r="B83" i="1"/>
  <c r="B90" i="1"/>
  <c r="B105" i="1"/>
  <c r="B109" i="1"/>
  <c r="B144" i="1"/>
  <c r="B156" i="1"/>
  <c r="B98" i="1"/>
  <c r="B113" i="1"/>
  <c r="B117" i="1"/>
  <c r="B121" i="1"/>
  <c r="B129" i="1"/>
  <c r="B130" i="1"/>
  <c r="B184" i="1"/>
  <c r="B196" i="1"/>
  <c r="B70" i="1"/>
  <c r="B72" i="1"/>
  <c r="B75" i="1"/>
  <c r="B84" i="1"/>
  <c r="B99" i="1"/>
  <c r="B106" i="1"/>
  <c r="B160" i="1"/>
  <c r="B172" i="1"/>
  <c r="B107" i="1"/>
  <c r="B114" i="1"/>
  <c r="B122" i="1"/>
  <c r="B136" i="1"/>
  <c r="B148" i="1"/>
  <c r="B115" i="1"/>
  <c r="B123" i="1"/>
  <c r="B176" i="1"/>
  <c r="B188" i="1"/>
  <c r="B142" i="1"/>
  <c r="B150" i="1"/>
  <c r="B158" i="1"/>
  <c r="B166" i="1"/>
  <c r="B174" i="1"/>
  <c r="B182" i="1"/>
  <c r="B190" i="1"/>
  <c r="B231" i="1"/>
  <c r="B132" i="1"/>
  <c r="B143" i="1"/>
  <c r="B151" i="1"/>
  <c r="B159" i="1"/>
  <c r="B167" i="1"/>
  <c r="B175" i="1"/>
  <c r="B183" i="1"/>
  <c r="B191" i="1"/>
  <c r="B201" i="1"/>
  <c r="B208" i="1"/>
  <c r="B205" i="1"/>
  <c r="B223" i="1"/>
  <c r="B216" i="1"/>
  <c r="B209" i="1"/>
  <c r="B224" i="1"/>
  <c r="B245" i="1"/>
  <c r="B259" i="1"/>
  <c r="B213" i="1"/>
  <c r="B217" i="1"/>
  <c r="B232" i="1"/>
  <c r="B221" i="1"/>
  <c r="B225" i="1"/>
  <c r="B255" i="1"/>
  <c r="B199" i="1"/>
  <c r="B207" i="1"/>
  <c r="B229" i="1"/>
  <c r="B233" i="1"/>
  <c r="B215" i="1"/>
  <c r="B246" i="1"/>
  <c r="B274" i="1"/>
  <c r="B254" i="1"/>
  <c r="B262" i="1"/>
  <c r="B235" i="1"/>
  <c r="B239" i="1"/>
  <c r="B253" i="1"/>
  <c r="B298" i="1"/>
  <c r="B243" i="1"/>
  <c r="B266" i="1"/>
  <c r="B247" i="1"/>
  <c r="B251" i="1"/>
  <c r="B267" i="1"/>
  <c r="B281" i="1"/>
  <c r="B331" i="1"/>
  <c r="B273" i="1"/>
  <c r="B289" i="1"/>
  <c r="B292" i="1"/>
  <c r="B296" i="1"/>
  <c r="B329" i="1"/>
  <c r="B263" i="1"/>
  <c r="B282" i="1"/>
  <c r="B294" i="1"/>
  <c r="B308" i="1"/>
  <c r="B275" i="1"/>
  <c r="B290" i="1"/>
  <c r="B293" i="1"/>
  <c r="B317" i="1"/>
  <c r="B357" i="1"/>
  <c r="B265" i="1"/>
  <c r="B279" i="1"/>
  <c r="B283" i="1"/>
  <c r="B271" i="1"/>
  <c r="B287" i="1"/>
  <c r="B291" i="1"/>
  <c r="B322" i="1"/>
  <c r="B316" i="1"/>
  <c r="B326" i="1"/>
  <c r="B325" i="1"/>
  <c r="B352" i="1"/>
  <c r="B306" i="1"/>
  <c r="B330" i="1"/>
  <c r="B300" i="1"/>
  <c r="B309" i="1"/>
  <c r="B314" i="1"/>
  <c r="B347" i="1"/>
  <c r="B337" i="1"/>
  <c r="B361" i="1"/>
  <c r="B365" i="1"/>
  <c r="B370" i="1"/>
  <c r="B323" i="1"/>
  <c r="B336" i="1"/>
  <c r="B334" i="1"/>
  <c r="B345" i="1"/>
  <c r="B358" i="1"/>
  <c r="B340" i="1"/>
  <c r="B344" i="1"/>
  <c r="B339" i="1"/>
  <c r="B353" i="1"/>
  <c r="B397" i="1"/>
  <c r="B389" i="1"/>
  <c r="B392" i="1"/>
  <c r="B374" i="1"/>
  <c r="B379" i="1"/>
  <c r="B388" i="1"/>
  <c r="B362" i="1"/>
  <c r="B364" i="1"/>
  <c r="B373" i="1"/>
  <c r="B378" i="1"/>
  <c r="B391" i="1"/>
  <c r="B394" i="1"/>
  <c r="B372" i="1"/>
  <c r="B396" i="1"/>
  <c r="B382" i="1"/>
  <c r="B387" i="1"/>
  <c r="B363" i="1"/>
  <c r="B381" i="1"/>
  <c r="B386" i="1"/>
  <c r="B366" i="1"/>
  <c r="B371" i="1"/>
  <c r="B380" i="1"/>
  <c r="B399" i="1"/>
  <c r="B393" i="1"/>
  <c r="B411" i="1"/>
  <c r="B447" i="1"/>
  <c r="B401" i="1"/>
  <c r="B395" i="1"/>
  <c r="B402" i="1"/>
  <c r="B409" i="1"/>
  <c r="B417" i="1"/>
  <c r="B403" i="1"/>
  <c r="B410" i="1"/>
  <c r="B442" i="1"/>
  <c r="B434" i="1"/>
  <c r="B441" i="1"/>
  <c r="B433" i="1"/>
  <c r="B439" i="1"/>
  <c r="B443" i="1"/>
  <c r="B435" i="1"/>
  <c r="B449" i="1"/>
  <c r="B464" i="1"/>
  <c r="B450" i="1"/>
  <c r="B451" i="1"/>
  <c r="B457" i="1"/>
  <c r="B458" i="1"/>
  <c r="B474" i="1"/>
  <c r="B475" i="1"/>
  <c r="B465" i="1"/>
  <c r="B473" i="1"/>
  <c r="B477" i="1"/>
  <c r="B469" i="1"/>
  <c r="B478" i="1"/>
  <c r="B471" i="1"/>
  <c r="B483" i="1"/>
  <c r="B505" i="1"/>
  <c r="B484" i="1"/>
  <c r="B490" i="1"/>
  <c r="B504" i="1"/>
  <c r="B489" i="1"/>
  <c r="B497" i="1"/>
  <c r="B491" i="1"/>
  <c r="B503" i="1"/>
  <c r="B493" i="1"/>
  <c r="B498" i="1"/>
  <c r="AG2" i="1" l="1"/>
  <c r="AM4" i="1"/>
  <c r="AG3" i="1"/>
  <c r="AK3" i="1" s="1"/>
  <c r="AI3" i="1"/>
  <c r="AH2" i="1"/>
  <c r="AJ2" i="1" s="1"/>
  <c r="AD4" i="1"/>
  <c r="AP3" i="1"/>
  <c r="AP1" i="1"/>
  <c r="AQ1" i="1"/>
  <c r="AP2" i="1"/>
  <c r="M1" i="1"/>
  <c r="M2" i="1"/>
  <c r="AG1" i="1"/>
  <c r="AQ3" i="1"/>
  <c r="X5" i="1"/>
  <c r="O5" i="1"/>
  <c r="AQ2" i="1"/>
  <c r="AR1" i="1"/>
  <c r="AR2" i="1"/>
  <c r="AH1" i="1"/>
  <c r="B9" i="1"/>
  <c r="AH3" i="1"/>
  <c r="AJ3" i="1" s="1"/>
  <c r="V3" i="1"/>
  <c r="AI2" i="1"/>
  <c r="AK2" i="1" s="1"/>
  <c r="AI1" i="1"/>
  <c r="AR3" i="1"/>
  <c r="M3" i="1"/>
  <c r="V1" i="1"/>
  <c r="V2" i="1"/>
  <c r="AI4" i="1" l="1"/>
  <c r="W3" i="1"/>
  <c r="Y3" i="1" s="1"/>
  <c r="B21" i="1"/>
  <c r="AA1" i="1"/>
  <c r="V4" i="1"/>
  <c r="AT2" i="1"/>
  <c r="AS2" i="1"/>
  <c r="AQ4" i="1"/>
  <c r="AS1" i="1"/>
  <c r="AT1" i="1"/>
  <c r="AP4" i="1"/>
  <c r="AR4" i="1"/>
  <c r="N1" i="1"/>
  <c r="N2" i="1"/>
  <c r="P2" i="1" s="1"/>
  <c r="N3" i="1"/>
  <c r="P3" i="1" s="1"/>
  <c r="W1" i="1"/>
  <c r="W2" i="1"/>
  <c r="AG4" i="1"/>
  <c r="AK1" i="1"/>
  <c r="AJ1" i="1"/>
  <c r="AA3" i="1"/>
  <c r="M4" i="1"/>
  <c r="P1" i="1"/>
  <c r="AH4" i="1"/>
  <c r="AS3" i="1"/>
  <c r="AT3" i="1"/>
  <c r="AA4" i="1" l="1"/>
  <c r="AB1" i="1"/>
  <c r="O3" i="1"/>
  <c r="Q3" i="1" s="1"/>
  <c r="W4" i="1"/>
  <c r="Y4" i="1" s="1"/>
  <c r="N4" i="1"/>
  <c r="P4" i="1" s="1"/>
  <c r="AK4" i="1"/>
  <c r="AJ4" i="1"/>
  <c r="AT4" i="1"/>
  <c r="AS4" i="1"/>
  <c r="B33" i="1"/>
  <c r="X1" i="1"/>
  <c r="X2" i="1"/>
  <c r="Y1" i="1"/>
  <c r="O2" i="1"/>
  <c r="Q2" i="1" s="1"/>
  <c r="O1" i="1"/>
  <c r="X3" i="1"/>
  <c r="Z3" i="1" s="1"/>
  <c r="B34" i="1" l="1"/>
  <c r="B35" i="1" s="1"/>
  <c r="B38" i="1" s="1"/>
  <c r="X4" i="1"/>
  <c r="Z4" i="1" s="1"/>
  <c r="Z1" i="1"/>
  <c r="O4" i="1"/>
  <c r="Q4" i="1" s="1"/>
  <c r="Q1" i="1"/>
  <c r="AB4" i="1"/>
  <c r="B39" i="1" l="1"/>
  <c r="B40" i="1" s="1"/>
  <c r="B41" i="1" s="1"/>
  <c r="B45" i="1" l="1"/>
  <c r="B46" i="1" s="1"/>
  <c r="B47" i="1" s="1"/>
  <c r="B78" i="1" s="1"/>
  <c r="B91" i="1" s="1"/>
  <c r="B92" i="1" s="1"/>
  <c r="B96" i="1" s="1"/>
  <c r="B102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</calcChain>
</file>

<file path=xl/sharedStrings.xml><?xml version="1.0" encoding="utf-8"?>
<sst xmlns="http://schemas.openxmlformats.org/spreadsheetml/2006/main" count="11080" uniqueCount="1062">
  <si>
    <t>Total</t>
  </si>
  <si>
    <t>Large-cap</t>
  </si>
  <si>
    <t>Finance</t>
  </si>
  <si>
    <t>Mid-cap</t>
  </si>
  <si>
    <t>Banks</t>
  </si>
  <si>
    <t>Small-cap</t>
  </si>
  <si>
    <t>Ex. Banks &amp; Finance</t>
  </si>
  <si>
    <t>x</t>
  </si>
  <si>
    <t>Est Revenue</t>
  </si>
  <si>
    <t>Actual Revenue (Rs Crs)</t>
  </si>
  <si>
    <t>Est EBITDA</t>
  </si>
  <si>
    <t>Actual EBITDA (Rs Crs)</t>
  </si>
  <si>
    <t>Est Reported PAT</t>
  </si>
  <si>
    <t>Actual Reported PAT (Rs Crs)</t>
  </si>
  <si>
    <t>Est Adjusted PAT</t>
  </si>
  <si>
    <t>Actual Adjusted PAT (Rs Crs)</t>
  </si>
  <si>
    <t>Cap Code</t>
  </si>
  <si>
    <t>Script</t>
  </si>
  <si>
    <t>Console / Standalone</t>
  </si>
  <si>
    <t>Bloom</t>
  </si>
  <si>
    <t>Sector</t>
  </si>
  <si>
    <t>NSE</t>
  </si>
  <si>
    <t>Result Date (Actual / Announced)</t>
  </si>
  <si>
    <t>YoY (%)</t>
  </si>
  <si>
    <t>QoQ (%)</t>
  </si>
  <si>
    <t>EBITDA Margin (%)</t>
  </si>
  <si>
    <t xml:space="preserve">BPS </t>
  </si>
  <si>
    <t>Anand Rathi Wea.</t>
  </si>
  <si>
    <t>TCS</t>
  </si>
  <si>
    <t>ICICI AMC</t>
  </si>
  <si>
    <t>Nuvoco Vistas</t>
  </si>
  <si>
    <t>ICICI Pru Life</t>
  </si>
  <si>
    <t>Elecon Engg.Co</t>
  </si>
  <si>
    <t>ICICI Lombard</t>
  </si>
  <si>
    <t>HDB FINANC SER</t>
  </si>
  <si>
    <t>Tejas Networks</t>
  </si>
  <si>
    <t>HDFC Life Insur.</t>
  </si>
  <si>
    <t>HDFC AMC</t>
  </si>
  <si>
    <t>CRISIL</t>
  </si>
  <si>
    <t>Angel One</t>
  </si>
  <si>
    <t>Wipro</t>
  </si>
  <si>
    <t>Jio Financial</t>
  </si>
  <si>
    <t>HDFC Bank</t>
  </si>
  <si>
    <t>ICICI Bank</t>
  </si>
  <si>
    <t>Yes Bank</t>
  </si>
  <si>
    <t>Billionbrains</t>
  </si>
  <si>
    <t>PNB Housing</t>
  </si>
  <si>
    <t>Bank of Maha</t>
  </si>
  <si>
    <t>T R I L</t>
  </si>
  <si>
    <t>Nestle India</t>
  </si>
  <si>
    <t>360 ONE</t>
  </si>
  <si>
    <t>Tata Inv.Corpn.</t>
  </si>
  <si>
    <t>HCL Technologies</t>
  </si>
  <si>
    <t>Persistent Syste</t>
  </si>
  <si>
    <t>Tata Elxsi</t>
  </si>
  <si>
    <t>Havells India</t>
  </si>
  <si>
    <t>SBI Life Insuran</t>
  </si>
  <si>
    <t>Tech Mahindra</t>
  </si>
  <si>
    <t>Oracle Fin.Serv.</t>
  </si>
  <si>
    <t>Tata Comm</t>
  </si>
  <si>
    <t>L&amp;T Technology</t>
  </si>
  <si>
    <t>Adani Energy Sol</t>
  </si>
  <si>
    <t>Tata Capital</t>
  </si>
  <si>
    <t>UTI AMC</t>
  </si>
  <si>
    <t>Infosys</t>
  </si>
  <si>
    <t>LTIMindtree</t>
  </si>
  <si>
    <t>Cyient</t>
  </si>
  <si>
    <t>Atul</t>
  </si>
  <si>
    <t>Supreme Petroch.</t>
  </si>
  <si>
    <t>Adani Green</t>
  </si>
  <si>
    <t>C P C L</t>
  </si>
  <si>
    <t>Shriram Finance</t>
  </si>
  <si>
    <t>L&amp;T Finance Ltd</t>
  </si>
  <si>
    <t>IndusInd Bank</t>
  </si>
  <si>
    <t>India Cements</t>
  </si>
  <si>
    <t>SBFC Finance</t>
  </si>
  <si>
    <t>IDFC First Bank</t>
  </si>
  <si>
    <t>Garden Reach Sh.</t>
  </si>
  <si>
    <t>UltraTech Cem.</t>
  </si>
  <si>
    <t>Adani Total Gas</t>
  </si>
  <si>
    <t>Bajaj Housing</t>
  </si>
  <si>
    <t>Nippon Life Ind.</t>
  </si>
  <si>
    <t>Coal India</t>
  </si>
  <si>
    <t>Supreme Inds.</t>
  </si>
  <si>
    <t>Maruti Suzuki</t>
  </si>
  <si>
    <t>CEAT</t>
  </si>
  <si>
    <t>Castrol India</t>
  </si>
  <si>
    <t>Go Digit General</t>
  </si>
  <si>
    <t>Star Health Insu</t>
  </si>
  <si>
    <t>Bandhan Bank</t>
  </si>
  <si>
    <t>Schaeffler India</t>
  </si>
  <si>
    <t>HEG</t>
  </si>
  <si>
    <t>Navin Fluo.Intl.</t>
  </si>
  <si>
    <t>Adani Power</t>
  </si>
  <si>
    <t>Bajaj Finance</t>
  </si>
  <si>
    <t>Syngene Intl.</t>
  </si>
  <si>
    <t>Cemindia Project</t>
  </si>
  <si>
    <t>Mphasis</t>
  </si>
  <si>
    <t>KFin Technolog.</t>
  </si>
  <si>
    <t>Federal Bank</t>
  </si>
  <si>
    <t>ACC</t>
  </si>
  <si>
    <t>Hind. Unilever</t>
  </si>
  <si>
    <t>Bajaj Finserv</t>
  </si>
  <si>
    <t>Cholaman.Inv.&amp;Fn</t>
  </si>
  <si>
    <t>Laurus Labs</t>
  </si>
  <si>
    <t>Dr Lal Pathlabs</t>
  </si>
  <si>
    <t>Adani Ports</t>
  </si>
  <si>
    <t>Exide Inds.</t>
  </si>
  <si>
    <t>Ambuja Cements</t>
  </si>
  <si>
    <t>Cams Services</t>
  </si>
  <si>
    <t>Tata Technolog.</t>
  </si>
  <si>
    <t>Latent View</t>
  </si>
  <si>
    <t>M &amp; M</t>
  </si>
  <si>
    <t>United Breweries</t>
  </si>
  <si>
    <t>Poonawalla Fin</t>
  </si>
  <si>
    <t>Coforge</t>
  </si>
  <si>
    <t>Bajaj Auto</t>
  </si>
  <si>
    <t>Shree Cement</t>
  </si>
  <si>
    <t>Blue Star</t>
  </si>
  <si>
    <t>Godrej Consumer</t>
  </si>
  <si>
    <t>Aptus Value Hou.</t>
  </si>
  <si>
    <t>Hexaware Tech.</t>
  </si>
  <si>
    <t>Escorts Kubota</t>
  </si>
  <si>
    <t>Pidilite Inds.</t>
  </si>
  <si>
    <t>Dabur India</t>
  </si>
  <si>
    <t>Bajaj Holdings</t>
  </si>
  <si>
    <t>A B B</t>
  </si>
  <si>
    <t>Chola Financial</t>
  </si>
  <si>
    <t>Anant Raj</t>
  </si>
  <si>
    <t>Berger Paints</t>
  </si>
  <si>
    <t>Max Financial</t>
  </si>
  <si>
    <t>Dr Reddy's Labs</t>
  </si>
  <si>
    <t>Cipla</t>
  </si>
  <si>
    <t>Endurance Tech.</t>
  </si>
  <si>
    <t>Timken India</t>
  </si>
  <si>
    <t>JSW Steel</t>
  </si>
  <si>
    <t>Bosch</t>
  </si>
  <si>
    <t>Bikaji Foods</t>
  </si>
  <si>
    <t>Hindalco Inds.</t>
  </si>
  <si>
    <t>Amara Raja Ener.</t>
  </si>
  <si>
    <t>Cummins India</t>
  </si>
  <si>
    <t>Gillette India</t>
  </si>
  <si>
    <t>Coromandel Inter</t>
  </si>
  <si>
    <t>UPL</t>
  </si>
  <si>
    <t>F A C T</t>
  </si>
  <si>
    <t>P I Industries</t>
  </si>
  <si>
    <t>Godrej Industrie</t>
  </si>
  <si>
    <t>Bayer Crop Sci.</t>
  </si>
  <si>
    <t>Sumitomo Chemi.</t>
  </si>
  <si>
    <t>Chambal Fert.</t>
  </si>
  <si>
    <t>Eicher Motors</t>
  </si>
  <si>
    <t>TVS Motor Co.</t>
  </si>
  <si>
    <t>Tata Motors</t>
  </si>
  <si>
    <t>Hyundai Motor I</t>
  </si>
  <si>
    <t>Samvardh. Mothe.</t>
  </si>
  <si>
    <t>Tata Motors PVeh</t>
  </si>
  <si>
    <t>Hero Motocorp</t>
  </si>
  <si>
    <t>Ashok Leyland</t>
  </si>
  <si>
    <t>Bharat Forge</t>
  </si>
  <si>
    <t>Uno Minda</t>
  </si>
  <si>
    <t>MRF</t>
  </si>
  <si>
    <t>Balkrishna Inds</t>
  </si>
  <si>
    <t>Sona BLW Precis.</t>
  </si>
  <si>
    <t>Ather Energy</t>
  </si>
  <si>
    <t>Force Motors</t>
  </si>
  <si>
    <t>Apollo Tyres</t>
  </si>
  <si>
    <t>ZF Commercial</t>
  </si>
  <si>
    <t>Motherson Wiring</t>
  </si>
  <si>
    <t>PTC Industries</t>
  </si>
  <si>
    <t>Tenneco Clean</t>
  </si>
  <si>
    <t>Asahi India Glas</t>
  </si>
  <si>
    <t>HBL Engineering</t>
  </si>
  <si>
    <t>Belrise Industri</t>
  </si>
  <si>
    <t>Craftsman Auto</t>
  </si>
  <si>
    <t>JBM Auto</t>
  </si>
  <si>
    <t>Ola Electric</t>
  </si>
  <si>
    <t>Gabriel India</t>
  </si>
  <si>
    <t>Minda Corp</t>
  </si>
  <si>
    <t>JK Tyre &amp; Indust</t>
  </si>
  <si>
    <t>Ramkrishna Forg.</t>
  </si>
  <si>
    <t>Olectra Greentec</t>
  </si>
  <si>
    <t>Asian Paints</t>
  </si>
  <si>
    <t>JSW Cement</t>
  </si>
  <si>
    <t>Kajaria Ceramics</t>
  </si>
  <si>
    <t>Larsen &amp; Toubro</t>
  </si>
  <si>
    <t>Bharat Electron</t>
  </si>
  <si>
    <t>Hind.Aeronautics</t>
  </si>
  <si>
    <t>Solar Industries</t>
  </si>
  <si>
    <t>Indus Towers</t>
  </si>
  <si>
    <t>Hitachi Energy</t>
  </si>
  <si>
    <t>Siemens</t>
  </si>
  <si>
    <t>CG Power &amp; Ind</t>
  </si>
  <si>
    <t>Polycab India</t>
  </si>
  <si>
    <t>GE Vernova T&amp;D</t>
  </si>
  <si>
    <t>Mazagon Dock</t>
  </si>
  <si>
    <t>Siemens Ener.Ind</t>
  </si>
  <si>
    <t>B H E L</t>
  </si>
  <si>
    <t>Jindal Stain.</t>
  </si>
  <si>
    <t>Suzlon Energy</t>
  </si>
  <si>
    <t>Rail Vikas</t>
  </si>
  <si>
    <t>APL Apollo Tubes</t>
  </si>
  <si>
    <t>Tube Investments</t>
  </si>
  <si>
    <t>Bharat Dynamics</t>
  </si>
  <si>
    <t>Premier Energies</t>
  </si>
  <si>
    <t>Apar Inds.</t>
  </si>
  <si>
    <t>KEI Industries</t>
  </si>
  <si>
    <t>Thermax</t>
  </si>
  <si>
    <t>Cochin Shipyard</t>
  </si>
  <si>
    <t>AIA Engineering</t>
  </si>
  <si>
    <t>ITI</t>
  </si>
  <si>
    <t>Schneider Elect.</t>
  </si>
  <si>
    <t>Kirloskar Oil</t>
  </si>
  <si>
    <t>Kalpataru Proj.</t>
  </si>
  <si>
    <t>Data Pattern</t>
  </si>
  <si>
    <t>Jyoti CNC Auto.</t>
  </si>
  <si>
    <t>Carborundum Uni.</t>
  </si>
  <si>
    <t>Emmvee Photovol.</t>
  </si>
  <si>
    <t>Elgi Equipments</t>
  </si>
  <si>
    <t>Crompton Gr. Con</t>
  </si>
  <si>
    <t>R R Kabel</t>
  </si>
  <si>
    <t>Triveni Turbine</t>
  </si>
  <si>
    <t>KEC Internationa</t>
  </si>
  <si>
    <t>Inox Wind</t>
  </si>
  <si>
    <t>Tega Inds.</t>
  </si>
  <si>
    <t>BEML Ltd</t>
  </si>
  <si>
    <t>Zen Technologies</t>
  </si>
  <si>
    <t>Graphite India</t>
  </si>
  <si>
    <t>Finolex Cables</t>
  </si>
  <si>
    <t>Engineers India</t>
  </si>
  <si>
    <t>HFCL</t>
  </si>
  <si>
    <t>Jupiter Wagons</t>
  </si>
  <si>
    <t>Action Const.Eq.</t>
  </si>
  <si>
    <t>Titagarh Rail</t>
  </si>
  <si>
    <t>RHI Magnesita</t>
  </si>
  <si>
    <t>J K Cements</t>
  </si>
  <si>
    <t>Dalmia BharatLtd</t>
  </si>
  <si>
    <t>The Ramco Cement</t>
  </si>
  <si>
    <t>Linde India</t>
  </si>
  <si>
    <t>Gujarat Fluoroch</t>
  </si>
  <si>
    <t>Himadri Special</t>
  </si>
  <si>
    <t>Deepak Nitrite</t>
  </si>
  <si>
    <t>Tata Chemicals</t>
  </si>
  <si>
    <t>Aarti Industries</t>
  </si>
  <si>
    <t>Anupam Rasayan</t>
  </si>
  <si>
    <t>Deepak Fertilis.</t>
  </si>
  <si>
    <t>Paradeep Phosph.</t>
  </si>
  <si>
    <t>PCBL Chemical</t>
  </si>
  <si>
    <t>Jubilant Ingrev.</t>
  </si>
  <si>
    <t>Clean Science</t>
  </si>
  <si>
    <t>EID Parry</t>
  </si>
  <si>
    <t>The Bombay Burma</t>
  </si>
  <si>
    <t>Balrampur Chini</t>
  </si>
  <si>
    <t>LG Electronics</t>
  </si>
  <si>
    <t>Dixon Technolog.</t>
  </si>
  <si>
    <t>Voltas</t>
  </si>
  <si>
    <t>Kaynes Tech</t>
  </si>
  <si>
    <t>Honeywell Auto</t>
  </si>
  <si>
    <t>Amber Enterp.</t>
  </si>
  <si>
    <t>Aditya Infotech</t>
  </si>
  <si>
    <t>Syrma SGS Tech.</t>
  </si>
  <si>
    <t>Akzo Nobel</t>
  </si>
  <si>
    <t>PG Electroplast</t>
  </si>
  <si>
    <t>Whirlpool India</t>
  </si>
  <si>
    <t>ITC</t>
  </si>
  <si>
    <t>Varun Beverages</t>
  </si>
  <si>
    <t>Britannia Inds.</t>
  </si>
  <si>
    <t>Tata Consumer</t>
  </si>
  <si>
    <t>United Spirits</t>
  </si>
  <si>
    <t>Lenskart Solut.</t>
  </si>
  <si>
    <t>Patanjali Foods</t>
  </si>
  <si>
    <t>Radico Khaitan</t>
  </si>
  <si>
    <t>Jubilant Food.</t>
  </si>
  <si>
    <t>Godfrey Phillips</t>
  </si>
  <si>
    <t>AWL Agri Busine.</t>
  </si>
  <si>
    <t>Travel Food</t>
  </si>
  <si>
    <t>Zydus Wellness</t>
  </si>
  <si>
    <t>CCL Products</t>
  </si>
  <si>
    <t>Devyani Intl.</t>
  </si>
  <si>
    <t>Allied Blenders</t>
  </si>
  <si>
    <t>Sapphire Foods</t>
  </si>
  <si>
    <t>Titan Company</t>
  </si>
  <si>
    <t>Avenue Super.</t>
  </si>
  <si>
    <t>Trent</t>
  </si>
  <si>
    <t>Kalyan Jewellers</t>
  </si>
  <si>
    <t>Page Industries</t>
  </si>
  <si>
    <t>K P R Mill Ltd</t>
  </si>
  <si>
    <t>DOMS Industries</t>
  </si>
  <si>
    <t>International Ge</t>
  </si>
  <si>
    <t>Trident</t>
  </si>
  <si>
    <t>Brainbees Solut.</t>
  </si>
  <si>
    <t>A B Lifestyle</t>
  </si>
  <si>
    <t>Bata India</t>
  </si>
  <si>
    <t>Cartrade Tech</t>
  </si>
  <si>
    <t>Aditya Bir. Fas.</t>
  </si>
  <si>
    <t>Marico</t>
  </si>
  <si>
    <t>Colgate-Palmoliv</t>
  </si>
  <si>
    <t>Emami</t>
  </si>
  <si>
    <t>L T Foods</t>
  </si>
  <si>
    <t>Reliance Industr</t>
  </si>
  <si>
    <t>DCM Shriram</t>
  </si>
  <si>
    <t>Nava</t>
  </si>
  <si>
    <t>NTPC</t>
  </si>
  <si>
    <t>O N G C</t>
  </si>
  <si>
    <t>Power Grid Corpn</t>
  </si>
  <si>
    <t>Adani Enterp.</t>
  </si>
  <si>
    <t>I O C L</t>
  </si>
  <si>
    <t>Tata Power Co.</t>
  </si>
  <si>
    <t>B P C L</t>
  </si>
  <si>
    <t>GAIL (India)</t>
  </si>
  <si>
    <t>Waaree Energies</t>
  </si>
  <si>
    <t>JSW Energy</t>
  </si>
  <si>
    <t>NTPC Green Ene.</t>
  </si>
  <si>
    <t>Oil India</t>
  </si>
  <si>
    <t>NHPC Ltd</t>
  </si>
  <si>
    <t>H P C L</t>
  </si>
  <si>
    <t>Torrent Power</t>
  </si>
  <si>
    <t>Petronet LNG</t>
  </si>
  <si>
    <t>NLC India</t>
  </si>
  <si>
    <t>M R P L</t>
  </si>
  <si>
    <t>SJVN</t>
  </si>
  <si>
    <t>Aegis Logistics</t>
  </si>
  <si>
    <t>Indraprastha Gas</t>
  </si>
  <si>
    <t>CESC</t>
  </si>
  <si>
    <t>Guj.St.Petronet</t>
  </si>
  <si>
    <t>JP Power Ven.</t>
  </si>
  <si>
    <t>Reliance Power</t>
  </si>
  <si>
    <t>Mahanagar Gas</t>
  </si>
  <si>
    <t>Indian Hotels Co</t>
  </si>
  <si>
    <t>ITC Hotels</t>
  </si>
  <si>
    <t>Sun TV Network</t>
  </si>
  <si>
    <t>EIH</t>
  </si>
  <si>
    <t>Chalet Hotels</t>
  </si>
  <si>
    <t>Leela Palaces Ho</t>
  </si>
  <si>
    <t>PVR Inox</t>
  </si>
  <si>
    <t>Lemon Tree Hotel</t>
  </si>
  <si>
    <t>Zee Entertainmen</t>
  </si>
  <si>
    <t>Saregama India</t>
  </si>
  <si>
    <t>BSE</t>
  </si>
  <si>
    <t>Multi Comm. Exc.</t>
  </si>
  <si>
    <t>Indian Energy Ex</t>
  </si>
  <si>
    <t>Life Insurance</t>
  </si>
  <si>
    <t>Power Fin.Corpn.</t>
  </si>
  <si>
    <t>Muthoot Finance</t>
  </si>
  <si>
    <t>I R F C</t>
  </si>
  <si>
    <t>REC Ltd</t>
  </si>
  <si>
    <t>Aditya Birla Cap</t>
  </si>
  <si>
    <t>General Insuranc</t>
  </si>
  <si>
    <t>SBI Cards</t>
  </si>
  <si>
    <t>Sundaram Finance</t>
  </si>
  <si>
    <t>Motil.Oswal.Fin.</t>
  </si>
  <si>
    <t>M &amp; M Fin. Serv.</t>
  </si>
  <si>
    <t>Piramal Finance.</t>
  </si>
  <si>
    <t>Authum Invest</t>
  </si>
  <si>
    <t>H U D C O</t>
  </si>
  <si>
    <t>Indian Renewable</t>
  </si>
  <si>
    <t>LIC Housing Fin.</t>
  </si>
  <si>
    <t>Aditya AMC</t>
  </si>
  <si>
    <t>C D S L</t>
  </si>
  <si>
    <t>Manappuram Fin.</t>
  </si>
  <si>
    <t>Nuvama Wealth</t>
  </si>
  <si>
    <t>New India Assura</t>
  </si>
  <si>
    <t>Aadhar Hsg. Fin.</t>
  </si>
  <si>
    <t>CreditAcc. Gram.</t>
  </si>
  <si>
    <t>IIFL Finance</t>
  </si>
  <si>
    <t>Sammaan Capital</t>
  </si>
  <si>
    <t>Capri Global</t>
  </si>
  <si>
    <t>Choice Intl.</t>
  </si>
  <si>
    <t>IFCI</t>
  </si>
  <si>
    <t>Canara HSBC</t>
  </si>
  <si>
    <t>Niva Bupa Health</t>
  </si>
  <si>
    <t>JM Financial</t>
  </si>
  <si>
    <t>Can Fin Homes</t>
  </si>
  <si>
    <t>Five-Star Bus.Fi</t>
  </si>
  <si>
    <t>Home First Finan</t>
  </si>
  <si>
    <t>AAVAS Financiers</t>
  </si>
  <si>
    <t>Sun Pharma.Inds.</t>
  </si>
  <si>
    <t>Divi's Lab.</t>
  </si>
  <si>
    <t>Torrent Pharma.</t>
  </si>
  <si>
    <t>Apollo Hospitals</t>
  </si>
  <si>
    <t>Lupin</t>
  </si>
  <si>
    <t>Max Healthcare</t>
  </si>
  <si>
    <t>Zydus Lifesci.</t>
  </si>
  <si>
    <t>Aurobindo Pharma</t>
  </si>
  <si>
    <t>Alkem Lab</t>
  </si>
  <si>
    <t>Fortis Health.</t>
  </si>
  <si>
    <t>Glenmark Pharma.</t>
  </si>
  <si>
    <t>Biocon</t>
  </si>
  <si>
    <t>Abbott India</t>
  </si>
  <si>
    <t>Glaxosmi. Pharma</t>
  </si>
  <si>
    <t>Anthem Bioscienc</t>
  </si>
  <si>
    <t>Ipca Labs.</t>
  </si>
  <si>
    <t>Aster DM Health.</t>
  </si>
  <si>
    <t>Narayana Hrudaya</t>
  </si>
  <si>
    <t>Ajanta Pharma</t>
  </si>
  <si>
    <t>J B Chemicals &amp;</t>
  </si>
  <si>
    <t>Emcure Pharma</t>
  </si>
  <si>
    <t>Gland Pharma</t>
  </si>
  <si>
    <t>Global Health</t>
  </si>
  <si>
    <t>Krishna Institu.</t>
  </si>
  <si>
    <t>Pfizer</t>
  </si>
  <si>
    <t>Wockhardt</t>
  </si>
  <si>
    <t>Sai Life</t>
  </si>
  <si>
    <t>Piramal Pharma</t>
  </si>
  <si>
    <t>Natco Pharma</t>
  </si>
  <si>
    <t>ERIS Lifescience</t>
  </si>
  <si>
    <t>Acutaas Chemical</t>
  </si>
  <si>
    <t>Neuland Labs.</t>
  </si>
  <si>
    <t>OneSource Speci.</t>
  </si>
  <si>
    <t>Granules India</t>
  </si>
  <si>
    <t>Poly Medicure</t>
  </si>
  <si>
    <t>Jubilant Pharmo</t>
  </si>
  <si>
    <t>Caplin Point Lab</t>
  </si>
  <si>
    <t>Rainbow Child.</t>
  </si>
  <si>
    <t>Cohance Life</t>
  </si>
  <si>
    <t>Indegene</t>
  </si>
  <si>
    <t>Concord Biotech</t>
  </si>
  <si>
    <t>Vijaya Diagnost.</t>
  </si>
  <si>
    <t>Blue Jet Health</t>
  </si>
  <si>
    <t>DLF</t>
  </si>
  <si>
    <t>GMR Airports</t>
  </si>
  <si>
    <t>Lodha Developers</t>
  </si>
  <si>
    <t>Phoenix Mills</t>
  </si>
  <si>
    <t>Oberoi Realty</t>
  </si>
  <si>
    <t>Prestige Estates</t>
  </si>
  <si>
    <t>Godrej Propert.</t>
  </si>
  <si>
    <t>IRB Infra.Devl.</t>
  </si>
  <si>
    <t>NBCC</t>
  </si>
  <si>
    <t>ACME Solar Hold.</t>
  </si>
  <si>
    <t>Brigade Enterpr.</t>
  </si>
  <si>
    <t>A B Real Estate</t>
  </si>
  <si>
    <t>Sobha</t>
  </si>
  <si>
    <t>Techno Elec.Engg</t>
  </si>
  <si>
    <t>Ircon Intl.</t>
  </si>
  <si>
    <t>SignatureGlobal</t>
  </si>
  <si>
    <t>Afcons Infrastr.</t>
  </si>
  <si>
    <t>Rites</t>
  </si>
  <si>
    <t>NCC</t>
  </si>
  <si>
    <t>Inventurus Knowl</t>
  </si>
  <si>
    <t>Sagility</t>
  </si>
  <si>
    <t>KPIT Technologi.</t>
  </si>
  <si>
    <t>Netweb Technol.</t>
  </si>
  <si>
    <t>Pine Labs</t>
  </si>
  <si>
    <t>Firstsour.Solu.</t>
  </si>
  <si>
    <t>eClerx Services</t>
  </si>
  <si>
    <t>Zensar Tech.</t>
  </si>
  <si>
    <t>BLS Internat.</t>
  </si>
  <si>
    <t>Birlasoft Ltd</t>
  </si>
  <si>
    <t>Intellect Design</t>
  </si>
  <si>
    <t>Sonata Software</t>
  </si>
  <si>
    <t>Newgen Software</t>
  </si>
  <si>
    <t>C.E. Info System</t>
  </si>
  <si>
    <t>Interglobe Aviat</t>
  </si>
  <si>
    <t>JSW Infrast</t>
  </si>
  <si>
    <t>Container Corpn.</t>
  </si>
  <si>
    <t>Delhivery</t>
  </si>
  <si>
    <t>GE Shipping Co</t>
  </si>
  <si>
    <t>Aegis Vopak Term</t>
  </si>
  <si>
    <t>Blue Dart Expres</t>
  </si>
  <si>
    <t>S C I</t>
  </si>
  <si>
    <t>Vedanta</t>
  </si>
  <si>
    <t>Tata Steel</t>
  </si>
  <si>
    <t>Hindustan Zinc</t>
  </si>
  <si>
    <t>Jindal Steel</t>
  </si>
  <si>
    <t>Lloyds Metals</t>
  </si>
  <si>
    <t>Natl. Aluminium</t>
  </si>
  <si>
    <t>NMDC</t>
  </si>
  <si>
    <t>S A I L</t>
  </si>
  <si>
    <t>Hindustan Copper</t>
  </si>
  <si>
    <t>Welspun Corp</t>
  </si>
  <si>
    <t>Shyam Metalics</t>
  </si>
  <si>
    <t>G M D C</t>
  </si>
  <si>
    <t>Sarda Energy</t>
  </si>
  <si>
    <t>Godawari Power</t>
  </si>
  <si>
    <t>Jain Resource</t>
  </si>
  <si>
    <t>Gallantt Ispat L</t>
  </si>
  <si>
    <t>Jindal Saw</t>
  </si>
  <si>
    <t>Usha Martin</t>
  </si>
  <si>
    <t>NMDC Steel</t>
  </si>
  <si>
    <t>Gravita India</t>
  </si>
  <si>
    <t>Eternal</t>
  </si>
  <si>
    <t>Swiggy</t>
  </si>
  <si>
    <t>FSN E-Commerce</t>
  </si>
  <si>
    <t>Meesho</t>
  </si>
  <si>
    <t>PB Fintech.</t>
  </si>
  <si>
    <t>One 97</t>
  </si>
  <si>
    <t>Info Edg.(India)</t>
  </si>
  <si>
    <t>I R C T C</t>
  </si>
  <si>
    <t>Physicswallah</t>
  </si>
  <si>
    <t>Affle 3i</t>
  </si>
  <si>
    <t>Urban Company</t>
  </si>
  <si>
    <t>Indiamart Inter.</t>
  </si>
  <si>
    <t>TBO Tek</t>
  </si>
  <si>
    <t>Astral</t>
  </si>
  <si>
    <t>Bharti Airtel</t>
  </si>
  <si>
    <t>Vodafone Idea</t>
  </si>
  <si>
    <t>Bharti Hexacom</t>
  </si>
  <si>
    <t>Railtel Corpn.</t>
  </si>
  <si>
    <t>Tata Tele. Mah.</t>
  </si>
  <si>
    <t>Grasim Inds</t>
  </si>
  <si>
    <t>SRF</t>
  </si>
  <si>
    <t>Vardhman Textile</t>
  </si>
  <si>
    <t>Welspun Living</t>
  </si>
  <si>
    <t>Swan Corp</t>
  </si>
  <si>
    <t>Mankind Pharma</t>
  </si>
  <si>
    <t>Vishal Mega Mart</t>
  </si>
  <si>
    <t>3M India</t>
  </si>
  <si>
    <t>Redington</t>
  </si>
  <si>
    <t>Honasa Consumer</t>
  </si>
  <si>
    <t>MMTC</t>
  </si>
  <si>
    <t>SBI</t>
  </si>
  <si>
    <t>Axis Bank</t>
  </si>
  <si>
    <t>Kotak Mah. Bank</t>
  </si>
  <si>
    <t>Bank of Baroda</t>
  </si>
  <si>
    <t>Union Bank (I)</t>
  </si>
  <si>
    <t>Punjab Natl.Bank</t>
  </si>
  <si>
    <t>Indian Bank</t>
  </si>
  <si>
    <t>Canara Bank</t>
  </si>
  <si>
    <t>IDBI Bank</t>
  </si>
  <si>
    <t>AU Small Finance</t>
  </si>
  <si>
    <t>Bank of India</t>
  </si>
  <si>
    <t>I O B</t>
  </si>
  <si>
    <t>Central Bank</t>
  </si>
  <si>
    <t>UCO Bank</t>
  </si>
  <si>
    <t>Karur Vysya Bank</t>
  </si>
  <si>
    <t>RBL Bank</t>
  </si>
  <si>
    <t>City Union Bank</t>
  </si>
  <si>
    <t>J &amp; K Bank</t>
  </si>
  <si>
    <t>Console</t>
  </si>
  <si>
    <t>ANANDRAT IN</t>
  </si>
  <si>
    <t>Small Cap</t>
  </si>
  <si>
    <t>TCS IN</t>
  </si>
  <si>
    <t>IT Services</t>
  </si>
  <si>
    <t>Large Cap</t>
  </si>
  <si>
    <t>Standalone</t>
  </si>
  <si>
    <t>ICICIAMC IN</t>
  </si>
  <si>
    <t>Mid Cap</t>
  </si>
  <si>
    <t>NUVOCO IN</t>
  </si>
  <si>
    <t>Building Material</t>
  </si>
  <si>
    <t>IPRU IN</t>
  </si>
  <si>
    <t xml:space="preserve"> </t>
  </si>
  <si>
    <t/>
  </si>
  <si>
    <t>ELCN IN</t>
  </si>
  <si>
    <t>Cap Goods</t>
  </si>
  <si>
    <t>ICICIGI IN</t>
  </si>
  <si>
    <t>HDBFS IN</t>
  </si>
  <si>
    <t>TEJASNET IN</t>
  </si>
  <si>
    <t>Telecom Services</t>
  </si>
  <si>
    <t>LP</t>
  </si>
  <si>
    <t>LL</t>
  </si>
  <si>
    <t>HDFCLIFE IN</t>
  </si>
  <si>
    <t>HDFCAMC IN</t>
  </si>
  <si>
    <t>CRISIL IN</t>
  </si>
  <si>
    <t>ANGELONE IN</t>
  </si>
  <si>
    <t>WPRO IN</t>
  </si>
  <si>
    <t>JIOFIN IN</t>
  </si>
  <si>
    <t>HDFCB IN</t>
  </si>
  <si>
    <t>ICICIBC IN</t>
  </si>
  <si>
    <t>YES IN</t>
  </si>
  <si>
    <t>GROWW IN</t>
  </si>
  <si>
    <t>PNBHOUSI IN</t>
  </si>
  <si>
    <t>BOMH IN</t>
  </si>
  <si>
    <t>TARIL IN</t>
  </si>
  <si>
    <t>NEST IN</t>
  </si>
  <si>
    <t>Consumer Food</t>
  </si>
  <si>
    <t>360ONE IN</t>
  </si>
  <si>
    <t>TATAINVE IN</t>
  </si>
  <si>
    <t>HCLT IN</t>
  </si>
  <si>
    <t>PSYS IN</t>
  </si>
  <si>
    <t>TELX IN</t>
  </si>
  <si>
    <t>HAVL IN</t>
  </si>
  <si>
    <t>SBILIFE IN</t>
  </si>
  <si>
    <t>TECHM IN</t>
  </si>
  <si>
    <t>OFSS IN</t>
  </si>
  <si>
    <t>TCOM IN</t>
  </si>
  <si>
    <t>LTTS IN</t>
  </si>
  <si>
    <t>ADANIENS IN</t>
  </si>
  <si>
    <t>Energy</t>
  </si>
  <si>
    <t>TATACAP IN</t>
  </si>
  <si>
    <t>UTIAM IN</t>
  </si>
  <si>
    <t>INFO IN</t>
  </si>
  <si>
    <t>LTM IN</t>
  </si>
  <si>
    <t>CYL IN</t>
  </si>
  <si>
    <t>ATLP IN</t>
  </si>
  <si>
    <t>Chemicals</t>
  </si>
  <si>
    <t>SPPT IN</t>
  </si>
  <si>
    <t>ADANIGR IN</t>
  </si>
  <si>
    <t>MRL IN</t>
  </si>
  <si>
    <t>SHFL IN</t>
  </si>
  <si>
    <t>LTF IN</t>
  </si>
  <si>
    <t>IIB IN</t>
  </si>
  <si>
    <t>ICEM IN</t>
  </si>
  <si>
    <t>Cement</t>
  </si>
  <si>
    <t>SBFC IN</t>
  </si>
  <si>
    <t>IDFCFB IN</t>
  </si>
  <si>
    <t>GRSE IN</t>
  </si>
  <si>
    <t>UTCEM IN</t>
  </si>
  <si>
    <t>ATGL IN</t>
  </si>
  <si>
    <t>BAJAJHFL IN</t>
  </si>
  <si>
    <t>NAM IN</t>
  </si>
  <si>
    <t>COAL IN</t>
  </si>
  <si>
    <t>Metals and Mining</t>
  </si>
  <si>
    <t>SI IN</t>
  </si>
  <si>
    <t>Plastic Products</t>
  </si>
  <si>
    <t>MSIL IN</t>
  </si>
  <si>
    <t>Auto / Auto Ancillaries</t>
  </si>
  <si>
    <t>CEAT IN</t>
  </si>
  <si>
    <t>CSTRL IN</t>
  </si>
  <si>
    <t>GODIGIT IN</t>
  </si>
  <si>
    <t>STARHEAL IN</t>
  </si>
  <si>
    <t>BANDHAN IN</t>
  </si>
  <si>
    <t>SCHFL IN</t>
  </si>
  <si>
    <t>HEG IN</t>
  </si>
  <si>
    <t>NFIL IN</t>
  </si>
  <si>
    <t>ADANI IN</t>
  </si>
  <si>
    <t>BAF IN</t>
  </si>
  <si>
    <t>SYNG IN</t>
  </si>
  <si>
    <t>Healthcare</t>
  </si>
  <si>
    <t>CEMPRO IN</t>
  </si>
  <si>
    <t>Infrastructure</t>
  </si>
  <si>
    <t>MPHL IN</t>
  </si>
  <si>
    <t>KFINTECH IN</t>
  </si>
  <si>
    <t>New Age / E-Comm</t>
  </si>
  <si>
    <t>FB IN</t>
  </si>
  <si>
    <t>ACC IN</t>
  </si>
  <si>
    <t>HUVR IN</t>
  </si>
  <si>
    <t>Consumer Staples</t>
  </si>
  <si>
    <t>BJFIN IN</t>
  </si>
  <si>
    <t>CIFC IN</t>
  </si>
  <si>
    <t>LAURUS IN</t>
  </si>
  <si>
    <t>DLPL IN</t>
  </si>
  <si>
    <t>ADSEZ IN</t>
  </si>
  <si>
    <t>Logistics</t>
  </si>
  <si>
    <t>EXID IN</t>
  </si>
  <si>
    <t>ACEM IN</t>
  </si>
  <si>
    <t>CAMS IN</t>
  </si>
  <si>
    <t>TATATECH IN</t>
  </si>
  <si>
    <t>LATENTVI IN</t>
  </si>
  <si>
    <t>MM IN</t>
  </si>
  <si>
    <t>UBBL IN</t>
  </si>
  <si>
    <t>POONAWAL IN</t>
  </si>
  <si>
    <t>COFORGE IN</t>
  </si>
  <si>
    <t>BJAUT IN</t>
  </si>
  <si>
    <t>SRCM IN</t>
  </si>
  <si>
    <t>BLSTR IN</t>
  </si>
  <si>
    <t>Consumer Durables</t>
  </si>
  <si>
    <t>GCPL IN</t>
  </si>
  <si>
    <t>APTUS IN</t>
  </si>
  <si>
    <t>HEXT IN</t>
  </si>
  <si>
    <t>ESCORTS IN</t>
  </si>
  <si>
    <t>PIDI IN</t>
  </si>
  <si>
    <t>DABUR IN</t>
  </si>
  <si>
    <t>BJHI IN</t>
  </si>
  <si>
    <t>ABB IN</t>
  </si>
  <si>
    <t>CHOLAHLD IN</t>
  </si>
  <si>
    <t>ARCP IN</t>
  </si>
  <si>
    <t>BRGR IN</t>
  </si>
  <si>
    <t>MAXF IN</t>
  </si>
  <si>
    <t>DRRD IN</t>
  </si>
  <si>
    <t>CIPLA IN</t>
  </si>
  <si>
    <t>ENDU IN</t>
  </si>
  <si>
    <t>TMKN IN</t>
  </si>
  <si>
    <t>JSTL IN</t>
  </si>
  <si>
    <t>BOS IN</t>
  </si>
  <si>
    <t>BIKAJI IN</t>
  </si>
  <si>
    <t>HNDL IN</t>
  </si>
  <si>
    <t>ARENM IN</t>
  </si>
  <si>
    <t>KKC IN</t>
  </si>
  <si>
    <t>GILL IN</t>
  </si>
  <si>
    <t>CRIN IN</t>
  </si>
  <si>
    <t>Agro Chemicals</t>
  </si>
  <si>
    <t>UPLL IN</t>
  </si>
  <si>
    <t>FCT IN</t>
  </si>
  <si>
    <t>PI IN</t>
  </si>
  <si>
    <t>GDSP IN</t>
  </si>
  <si>
    <t>BYRCS IN</t>
  </si>
  <si>
    <t>SUMICHEM IN</t>
  </si>
  <si>
    <t>CHMB IN</t>
  </si>
  <si>
    <t>EIM IN</t>
  </si>
  <si>
    <t>TVSL IN</t>
  </si>
  <si>
    <t>TMCV IN</t>
  </si>
  <si>
    <t>HYUNDAI IN</t>
  </si>
  <si>
    <t>MOTHERSO IN</t>
  </si>
  <si>
    <t>TMPV IN</t>
  </si>
  <si>
    <t>HMCL IN</t>
  </si>
  <si>
    <t>AL IN</t>
  </si>
  <si>
    <t>BHFC IN</t>
  </si>
  <si>
    <t>UNOMINDA IN</t>
  </si>
  <si>
    <t>MRF IN</t>
  </si>
  <si>
    <t>BIL IN</t>
  </si>
  <si>
    <t>SONACOMS IN</t>
  </si>
  <si>
    <t>ATHERENE IN</t>
  </si>
  <si>
    <t>FML IN</t>
  </si>
  <si>
    <t>APTY IN</t>
  </si>
  <si>
    <t>ZCVCS IN</t>
  </si>
  <si>
    <t>MSUMI IN</t>
  </si>
  <si>
    <t>PTCIL IN</t>
  </si>
  <si>
    <t>TENNIND IN</t>
  </si>
  <si>
    <t>AISG IN</t>
  </si>
  <si>
    <t>HBLENGIN IN</t>
  </si>
  <si>
    <t>BELRISE IN</t>
  </si>
  <si>
    <t>CRAFTSMA IN</t>
  </si>
  <si>
    <t>JBMA IN</t>
  </si>
  <si>
    <t>OLAELEC IN</t>
  </si>
  <si>
    <t>GABR IN</t>
  </si>
  <si>
    <t>MDA IN</t>
  </si>
  <si>
    <t>JKI IN</t>
  </si>
  <si>
    <t>RMKF IN</t>
  </si>
  <si>
    <t>OLECTRA IN</t>
  </si>
  <si>
    <t>APNT IN</t>
  </si>
  <si>
    <t>JSWCEMEN IN</t>
  </si>
  <si>
    <t>KJC IN</t>
  </si>
  <si>
    <t>LT IN</t>
  </si>
  <si>
    <t>BHE IN</t>
  </si>
  <si>
    <t>HNAL IN</t>
  </si>
  <si>
    <t>SOIL IN</t>
  </si>
  <si>
    <t>INDUSTOW IN</t>
  </si>
  <si>
    <t>POWERIND IN</t>
  </si>
  <si>
    <t>SIEM IN</t>
  </si>
  <si>
    <t>CGPOWER IN</t>
  </si>
  <si>
    <t>POLYCAB IN</t>
  </si>
  <si>
    <t>GVTD IN</t>
  </si>
  <si>
    <t>MAZDOCKS IN</t>
  </si>
  <si>
    <t>ENRIN IN</t>
  </si>
  <si>
    <t>BHEL IN</t>
  </si>
  <si>
    <t>JDSL IN</t>
  </si>
  <si>
    <t>SUEL IN</t>
  </si>
  <si>
    <t>RVNL IN</t>
  </si>
  <si>
    <t>APAT IN</t>
  </si>
  <si>
    <t>TIINDIA IN</t>
  </si>
  <si>
    <t>BDL IN</t>
  </si>
  <si>
    <t>PREMIERE IN</t>
  </si>
  <si>
    <t>APR IN</t>
  </si>
  <si>
    <t>KEII IN</t>
  </si>
  <si>
    <t>TMX IN</t>
  </si>
  <si>
    <t>COCHIN IN</t>
  </si>
  <si>
    <t>AIAE IN</t>
  </si>
  <si>
    <t>ITI IN</t>
  </si>
  <si>
    <t>SCHN IN</t>
  </si>
  <si>
    <t>KOEL IN</t>
  </si>
  <si>
    <t>KPIL IN</t>
  </si>
  <si>
    <t>DATAPATT IN</t>
  </si>
  <si>
    <t>JYOTICNC IN</t>
  </si>
  <si>
    <t>CU IN</t>
  </si>
  <si>
    <t>EMMVEE IN</t>
  </si>
  <si>
    <t>ELEQ IN</t>
  </si>
  <si>
    <t>CROMPTON IN</t>
  </si>
  <si>
    <t>RRKABEL IN</t>
  </si>
  <si>
    <t>TRIV IN</t>
  </si>
  <si>
    <t>KECI IN</t>
  </si>
  <si>
    <t>INXW IN</t>
  </si>
  <si>
    <t>TEGA IN</t>
  </si>
  <si>
    <t>BEML IN</t>
  </si>
  <si>
    <t>ZEN IN</t>
  </si>
  <si>
    <t>GRIL IN</t>
  </si>
  <si>
    <t>FNXC IN</t>
  </si>
  <si>
    <t>ENGR IN</t>
  </si>
  <si>
    <t>HMFC IN</t>
  </si>
  <si>
    <t>JWL IN</t>
  </si>
  <si>
    <t>ACCE IN</t>
  </si>
  <si>
    <t>TITAGARH IN</t>
  </si>
  <si>
    <t>RHIM IN</t>
  </si>
  <si>
    <t>JKCE IN</t>
  </si>
  <si>
    <t>DALBHARA IN</t>
  </si>
  <si>
    <t>TRCL IN</t>
  </si>
  <si>
    <t>LIIL IN</t>
  </si>
  <si>
    <t>FLUOROCH IN</t>
  </si>
  <si>
    <t>HSCH IN</t>
  </si>
  <si>
    <t>DN IN</t>
  </si>
  <si>
    <t>TTCH IN</t>
  </si>
  <si>
    <t>ARTO IN</t>
  </si>
  <si>
    <t>ANURAS IN</t>
  </si>
  <si>
    <t>DFPC IN</t>
  </si>
  <si>
    <t>PARADEEP IN</t>
  </si>
  <si>
    <t>PCBL IN</t>
  </si>
  <si>
    <t>JUBLINGR IN</t>
  </si>
  <si>
    <t>CLEAN IN</t>
  </si>
  <si>
    <t>EID IN</t>
  </si>
  <si>
    <t>Commodities</t>
  </si>
  <si>
    <t>BBTC IN</t>
  </si>
  <si>
    <t>BRCM IN</t>
  </si>
  <si>
    <t>LGEL IN</t>
  </si>
  <si>
    <t>DIXON IN</t>
  </si>
  <si>
    <t>VOLT IN</t>
  </si>
  <si>
    <t>KAYNES IN</t>
  </si>
  <si>
    <t>HWA IN</t>
  </si>
  <si>
    <t>AMBER IN</t>
  </si>
  <si>
    <t>CPPLUS IN</t>
  </si>
  <si>
    <t>SYRMA IN</t>
  </si>
  <si>
    <t>AKZO IN</t>
  </si>
  <si>
    <t>PGEL IN</t>
  </si>
  <si>
    <t>WHIRL IN</t>
  </si>
  <si>
    <t>ITC IN</t>
  </si>
  <si>
    <t>VBL IN</t>
  </si>
  <si>
    <t>BRIT IN</t>
  </si>
  <si>
    <t>TATACONS IN</t>
  </si>
  <si>
    <t>UNITDSPR IN</t>
  </si>
  <si>
    <t>LENSKART IN</t>
  </si>
  <si>
    <t>PATANJAL IN</t>
  </si>
  <si>
    <t>RDCK IN</t>
  </si>
  <si>
    <t>JUBI IN</t>
  </si>
  <si>
    <t>GP IN</t>
  </si>
  <si>
    <t>AWL IN</t>
  </si>
  <si>
    <t>TRAVELFO IN</t>
  </si>
  <si>
    <t>ZYWL IN</t>
  </si>
  <si>
    <t>CCLP IN</t>
  </si>
  <si>
    <t>DEVYANI IN</t>
  </si>
  <si>
    <t>ABDL IN</t>
  </si>
  <si>
    <t>SAPPHIRE IN</t>
  </si>
  <si>
    <t>PL</t>
  </si>
  <si>
    <t>TTAN IN</t>
  </si>
  <si>
    <t>Consumer Retail</t>
  </si>
  <si>
    <t>DMART IN</t>
  </si>
  <si>
    <t>TRENT IN</t>
  </si>
  <si>
    <t>KALYANKJ IN</t>
  </si>
  <si>
    <t>PAG IN</t>
  </si>
  <si>
    <t>KPR IN</t>
  </si>
  <si>
    <t>DOMS IN</t>
  </si>
  <si>
    <t>IGIL IN</t>
  </si>
  <si>
    <t>TRID IN</t>
  </si>
  <si>
    <t>FIRSTCRY IN</t>
  </si>
  <si>
    <t>ABLBL IN</t>
  </si>
  <si>
    <t>BATA IN</t>
  </si>
  <si>
    <t>CARTRADE IN</t>
  </si>
  <si>
    <t>ABFRL IN</t>
  </si>
  <si>
    <t>MRCO IN</t>
  </si>
  <si>
    <t>CLGT IN</t>
  </si>
  <si>
    <t>HMN IN</t>
  </si>
  <si>
    <t>LTFOODS IN</t>
  </si>
  <si>
    <t>RELIANCE IN</t>
  </si>
  <si>
    <t>Diversified</t>
  </si>
  <si>
    <t>DCMS IN</t>
  </si>
  <si>
    <t>NAVA IN</t>
  </si>
  <si>
    <t>NTPC IN</t>
  </si>
  <si>
    <t>ONGC IN</t>
  </si>
  <si>
    <t>PWGR IN</t>
  </si>
  <si>
    <t>ADE IN</t>
  </si>
  <si>
    <t>IOCL IN</t>
  </si>
  <si>
    <t>TPWR IN</t>
  </si>
  <si>
    <t>BPCL IN</t>
  </si>
  <si>
    <t>GAIL IN</t>
  </si>
  <si>
    <t>WAAREEEN IN</t>
  </si>
  <si>
    <t>JSW IN</t>
  </si>
  <si>
    <t>NTPCGREE IN</t>
  </si>
  <si>
    <t>OINL IN</t>
  </si>
  <si>
    <t>NHPC IN</t>
  </si>
  <si>
    <t>HPCL IN</t>
  </si>
  <si>
    <t>TPW IN</t>
  </si>
  <si>
    <t>PLNG IN</t>
  </si>
  <si>
    <t>NLC IN</t>
  </si>
  <si>
    <t>MRPL IN</t>
  </si>
  <si>
    <t>SJVN IN</t>
  </si>
  <si>
    <t>AEGISLOG IN</t>
  </si>
  <si>
    <t>IGL IN</t>
  </si>
  <si>
    <t>CESC IN</t>
  </si>
  <si>
    <t>GUJS IN</t>
  </si>
  <si>
    <t>JPVL IN</t>
  </si>
  <si>
    <t>RPWR IN</t>
  </si>
  <si>
    <t>MAHGL IN</t>
  </si>
  <si>
    <t>IH IN</t>
  </si>
  <si>
    <t>Entertainment</t>
  </si>
  <si>
    <t>ITCHOTEL IN</t>
  </si>
  <si>
    <t>SUNTV IN</t>
  </si>
  <si>
    <t>EIH IN</t>
  </si>
  <si>
    <t>CHALET IN</t>
  </si>
  <si>
    <t>THELEELA IN</t>
  </si>
  <si>
    <t>PVRINOX IN</t>
  </si>
  <si>
    <t>LEMONTRE IN</t>
  </si>
  <si>
    <t>Z IN</t>
  </si>
  <si>
    <t>SARE IN</t>
  </si>
  <si>
    <t>BSE IN</t>
  </si>
  <si>
    <t>Exchange</t>
  </si>
  <si>
    <t>MCX IN</t>
  </si>
  <si>
    <t>IEX IN</t>
  </si>
  <si>
    <t>LICI IN</t>
  </si>
  <si>
    <t>POWF IN</t>
  </si>
  <si>
    <t>MUTH IN</t>
  </si>
  <si>
    <t>IRFC IN</t>
  </si>
  <si>
    <t>RECL IN</t>
  </si>
  <si>
    <t>ABCAP IN</t>
  </si>
  <si>
    <t>GICRE IN</t>
  </si>
  <si>
    <t>SBICARD IN</t>
  </si>
  <si>
    <t>SUF IN</t>
  </si>
  <si>
    <t>MOFS IN</t>
  </si>
  <si>
    <t>MMFS IN</t>
  </si>
  <si>
    <t>PIRAMALF IN</t>
  </si>
  <si>
    <t>AIIL IN</t>
  </si>
  <si>
    <t>HUDCO IN</t>
  </si>
  <si>
    <t>IREDA IN</t>
  </si>
  <si>
    <t>LICHF IN</t>
  </si>
  <si>
    <t>ABSLAMC IN</t>
  </si>
  <si>
    <t>CDSL IN</t>
  </si>
  <si>
    <t>MGFL IN</t>
  </si>
  <si>
    <t>NUVAMA IN</t>
  </si>
  <si>
    <t>NIACL IN</t>
  </si>
  <si>
    <t>AADHARHF IN</t>
  </si>
  <si>
    <t>CREDAG IN</t>
  </si>
  <si>
    <t>IIFL IN</t>
  </si>
  <si>
    <t>SAMMAANC IN</t>
  </si>
  <si>
    <t>CGCL IN</t>
  </si>
  <si>
    <t>CFIS IN</t>
  </si>
  <si>
    <t>IFCI IN</t>
  </si>
  <si>
    <t>CANHLIFE IN</t>
  </si>
  <si>
    <t>NIVABUPA IN</t>
  </si>
  <si>
    <t>JM IN</t>
  </si>
  <si>
    <t>CANF IN</t>
  </si>
  <si>
    <t>FIVESTAR IN</t>
  </si>
  <si>
    <t>HOMEFIRS IN</t>
  </si>
  <si>
    <t>AAVAS IN</t>
  </si>
  <si>
    <t>SUNP IN</t>
  </si>
  <si>
    <t>DIVI IN</t>
  </si>
  <si>
    <t>TRP IN</t>
  </si>
  <si>
    <t>APHS IN</t>
  </si>
  <si>
    <t>LPC IN</t>
  </si>
  <si>
    <t>MAXHEALT IN</t>
  </si>
  <si>
    <t>ZYDUSLIF IN</t>
  </si>
  <si>
    <t>ARBP IN</t>
  </si>
  <si>
    <t>ALKEM IN</t>
  </si>
  <si>
    <t>FORH IN</t>
  </si>
  <si>
    <t>GNP IN</t>
  </si>
  <si>
    <t>BIOS IN</t>
  </si>
  <si>
    <t>BOOT IN</t>
  </si>
  <si>
    <t>GLXO IN</t>
  </si>
  <si>
    <t>ANTHEM IN</t>
  </si>
  <si>
    <t>IPCA IN</t>
  </si>
  <si>
    <t>ASTERDM IN</t>
  </si>
  <si>
    <t>NARH IN</t>
  </si>
  <si>
    <t>AJP IN</t>
  </si>
  <si>
    <t>JBCP IN</t>
  </si>
  <si>
    <t>EMCURE IN</t>
  </si>
  <si>
    <t>GLAND IN</t>
  </si>
  <si>
    <t>MEDANTA IN</t>
  </si>
  <si>
    <t>KIMS IN</t>
  </si>
  <si>
    <t>PFIZ IN</t>
  </si>
  <si>
    <t>WPL IN</t>
  </si>
  <si>
    <t>SAILIFE IN</t>
  </si>
  <si>
    <t>PIRPHARM IN</t>
  </si>
  <si>
    <t>NTCPH IN</t>
  </si>
  <si>
    <t>ERIS IN</t>
  </si>
  <si>
    <t>ACUTAAS IN</t>
  </si>
  <si>
    <t>NLL IN</t>
  </si>
  <si>
    <t>ONESOURC IN</t>
  </si>
  <si>
    <t>GRAN IN</t>
  </si>
  <si>
    <t>PLM IN</t>
  </si>
  <si>
    <t>JUBLPHAR IN</t>
  </si>
  <si>
    <t>CLPL IN</t>
  </si>
  <si>
    <t>RAINBOW IN</t>
  </si>
  <si>
    <t>COHANCE IN</t>
  </si>
  <si>
    <t>INDGN IN</t>
  </si>
  <si>
    <t>CONCORDB IN</t>
  </si>
  <si>
    <t>VIJAYA IN</t>
  </si>
  <si>
    <t>BLUEJET IN</t>
  </si>
  <si>
    <t>DLFU IN</t>
  </si>
  <si>
    <t>GMRAIRPO IN</t>
  </si>
  <si>
    <t>LODHA IN</t>
  </si>
  <si>
    <t>PHNX IN</t>
  </si>
  <si>
    <t>OBER IN</t>
  </si>
  <si>
    <t>PEPL IN</t>
  </si>
  <si>
    <t>GPL IN</t>
  </si>
  <si>
    <t>IRB IN</t>
  </si>
  <si>
    <t>NBCC IN</t>
  </si>
  <si>
    <t>ACMESOLA IN</t>
  </si>
  <si>
    <t>BRGD IN</t>
  </si>
  <si>
    <t>ABREL IN</t>
  </si>
  <si>
    <t>SOBHA IN</t>
  </si>
  <si>
    <t>TECHNOE IN</t>
  </si>
  <si>
    <t>IRCON IN</t>
  </si>
  <si>
    <t>SIGNATUR IN</t>
  </si>
  <si>
    <t>AFCONS IN</t>
  </si>
  <si>
    <t>RITE IN</t>
  </si>
  <si>
    <t>NJCC IN</t>
  </si>
  <si>
    <t>IKS IN</t>
  </si>
  <si>
    <t>SAGILITY IN</t>
  </si>
  <si>
    <t>KPITTECH IN</t>
  </si>
  <si>
    <t>NETWEB IN</t>
  </si>
  <si>
    <t>PINELABS IN</t>
  </si>
  <si>
    <t>FSOL IN</t>
  </si>
  <si>
    <t>ECLX IN</t>
  </si>
  <si>
    <t>ZENT IN</t>
  </si>
  <si>
    <t>BLSIN IN</t>
  </si>
  <si>
    <t>BSOFT IN</t>
  </si>
  <si>
    <t>INDA IN</t>
  </si>
  <si>
    <t>SSOF IN</t>
  </si>
  <si>
    <t>NEWGEN IN</t>
  </si>
  <si>
    <t>MAPMYIND IN</t>
  </si>
  <si>
    <t>INDIGO IN</t>
  </si>
  <si>
    <t>JSWINFRA IN</t>
  </si>
  <si>
    <t>CCRI IN</t>
  </si>
  <si>
    <t>DELHIVER IN</t>
  </si>
  <si>
    <t>GESCO IN</t>
  </si>
  <si>
    <t>AEGISVOP IN</t>
  </si>
  <si>
    <t>BDE IN</t>
  </si>
  <si>
    <t>SCI IN</t>
  </si>
  <si>
    <t>VEDL IN</t>
  </si>
  <si>
    <t>TATA IN</t>
  </si>
  <si>
    <t>HZ IN</t>
  </si>
  <si>
    <t>JINDALST IN</t>
  </si>
  <si>
    <t>LLOYDSME IN</t>
  </si>
  <si>
    <t>NACL IN</t>
  </si>
  <si>
    <t>NMDC IN</t>
  </si>
  <si>
    <t>SAIL IN</t>
  </si>
  <si>
    <t>HCP IN</t>
  </si>
  <si>
    <t>WLCO IN</t>
  </si>
  <si>
    <t>SHYAMMET IN</t>
  </si>
  <si>
    <t>GMDC IN</t>
  </si>
  <si>
    <t>SEML IN</t>
  </si>
  <si>
    <t>GODPI IN</t>
  </si>
  <si>
    <t>JAINREC IN</t>
  </si>
  <si>
    <t>GALL IN</t>
  </si>
  <si>
    <t>JSAW IN</t>
  </si>
  <si>
    <t>USM IN</t>
  </si>
  <si>
    <t>NSLNISP IN</t>
  </si>
  <si>
    <t>GRAV IN</t>
  </si>
  <si>
    <t>ETERNAL IN</t>
  </si>
  <si>
    <t>SWIGGY IN</t>
  </si>
  <si>
    <t>NYKAA IN</t>
  </si>
  <si>
    <t>MEESHO IN</t>
  </si>
  <si>
    <t>POLICYBZ IN</t>
  </si>
  <si>
    <t>PAYTM IN</t>
  </si>
  <si>
    <t>INFOE IN</t>
  </si>
  <si>
    <t>IRCTC IN</t>
  </si>
  <si>
    <t>PWL IN</t>
  </si>
  <si>
    <t>AFFLE IN</t>
  </si>
  <si>
    <t>URBANCO IN</t>
  </si>
  <si>
    <t>INMART IN</t>
  </si>
  <si>
    <t>TBOTEK IN</t>
  </si>
  <si>
    <t>ASTRA IN</t>
  </si>
  <si>
    <t>BHARTI IN</t>
  </si>
  <si>
    <t>IDEA IN</t>
  </si>
  <si>
    <t>BHARTIHE IN</t>
  </si>
  <si>
    <t>RAILTEL IN</t>
  </si>
  <si>
    <t>TTLS IN</t>
  </si>
  <si>
    <t>GRASIM IN</t>
  </si>
  <si>
    <t>Textiles</t>
  </si>
  <si>
    <t>SRF IN</t>
  </si>
  <si>
    <t>VTEX IN</t>
  </si>
  <si>
    <t>WELSPUNL IN</t>
  </si>
  <si>
    <t>SWANCORP IN</t>
  </si>
  <si>
    <t>MANKIND IN</t>
  </si>
  <si>
    <t>Trading</t>
  </si>
  <si>
    <t>VMM IN</t>
  </si>
  <si>
    <t>3M IN</t>
  </si>
  <si>
    <t>REDI IN</t>
  </si>
  <si>
    <t>HONASA IN</t>
  </si>
  <si>
    <t>MMTC IN</t>
  </si>
  <si>
    <t>SBIN IN</t>
  </si>
  <si>
    <t>AXSB IN</t>
  </si>
  <si>
    <t>KMB IN</t>
  </si>
  <si>
    <t>BOB IN</t>
  </si>
  <si>
    <t>UNBK IN</t>
  </si>
  <si>
    <t>PNB IN</t>
  </si>
  <si>
    <t>INBK IN</t>
  </si>
  <si>
    <t>CBK IN</t>
  </si>
  <si>
    <t>IDBI IN</t>
  </si>
  <si>
    <t>AUBANK IN</t>
  </si>
  <si>
    <t>BOI IN</t>
  </si>
  <si>
    <t>IOB IN</t>
  </si>
  <si>
    <t>CBOI IN</t>
  </si>
  <si>
    <t>UCO IN</t>
  </si>
  <si>
    <t>KVB IN</t>
  </si>
  <si>
    <t>RBK IN</t>
  </si>
  <si>
    <t>CUBK IN</t>
  </si>
  <si>
    <t>JKBK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</si>
</sst>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_);[Red]\(0.0\)"/>
    <numFmt numFmtId="167" formatCode="0_);[Red]\(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4" fillId="0" borderId="0" xfId="1" applyNumberFormat="1" applyFont="1"/>
    <xf numFmtId="164" fontId="4" fillId="0" borderId="0" xfId="1" applyNumberFormat="1" applyFont="1" applyAlignment="1">
      <alignment vertical="center"/>
    </xf>
    <xf numFmtId="0" fontId="4" fillId="0" borderId="0" xfId="2" applyFont="1" applyAlignment="1">
      <alignment vertical="center"/>
    </xf>
    <xf numFmtId="14" fontId="5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9" fontId="4" fillId="0" borderId="0" xfId="2" applyNumberFormat="1" applyFont="1" applyAlignment="1">
      <alignment vertical="center"/>
    </xf>
    <xf numFmtId="165" fontId="4" fillId="0" borderId="0" xfId="3" applyNumberFormat="1" applyFont="1" applyAlignment="1">
      <alignment vertical="center"/>
    </xf>
    <xf numFmtId="0" fontId="4" fillId="0" borderId="0" xfId="2" applyFont="1"/>
    <xf numFmtId="15" fontId="4" fillId="0" borderId="0" xfId="1" applyNumberFormat="1" applyFont="1"/>
    <xf numFmtId="17" fontId="6" fillId="2" borderId="1" xfId="2" applyNumberFormat="1" applyFont="1" applyFill="1" applyBorder="1" applyAlignment="1">
      <alignment horizontal="center" vertical="center"/>
    </xf>
    <xf numFmtId="164" fontId="1" fillId="0" borderId="0" xfId="2" applyNumberFormat="1" applyAlignment="1">
      <alignment vertical="center"/>
    </xf>
    <xf numFmtId="0" fontId="4" fillId="0" borderId="0" xfId="2" applyFont="1" applyAlignment="1">
      <alignment horizontal="left" vertical="center"/>
    </xf>
    <xf numFmtId="15" fontId="1" fillId="0" borderId="0" xfId="2" applyNumberFormat="1" applyAlignment="1">
      <alignment vertical="center"/>
    </xf>
    <xf numFmtId="0" fontId="1" fillId="0" borderId="0" xfId="2" applyAlignment="1">
      <alignment vertical="center"/>
    </xf>
    <xf numFmtId="15" fontId="4" fillId="0" borderId="0" xfId="2" applyNumberFormat="1" applyFont="1" applyAlignment="1">
      <alignment horizontal="left" vertical="center"/>
    </xf>
    <xf numFmtId="4" fontId="4" fillId="0" borderId="0" xfId="2" applyNumberFormat="1" applyFont="1" applyAlignment="1">
      <alignment vertical="center"/>
    </xf>
    <xf numFmtId="164" fontId="4" fillId="0" borderId="0" xfId="1" applyNumberFormat="1" applyFont="1" applyAlignment="1">
      <alignment horizontal="right" vertical="center"/>
    </xf>
    <xf numFmtId="3" fontId="7" fillId="0" borderId="2" xfId="2" applyNumberFormat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 wrapText="1"/>
    </xf>
    <xf numFmtId="0" fontId="8" fillId="4" borderId="5" xfId="2" applyFont="1" applyFill="1" applyBorder="1" applyAlignment="1">
      <alignment horizontal="center" vertical="center" wrapText="1"/>
    </xf>
    <xf numFmtId="0" fontId="3" fillId="0" borderId="0" xfId="2" applyFont="1" applyAlignment="1">
      <alignment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vertical="center"/>
    </xf>
    <xf numFmtId="0" fontId="8" fillId="4" borderId="1" xfId="2" applyFont="1" applyFill="1" applyBorder="1" applyAlignment="1">
      <alignment vertical="center" wrapText="1"/>
    </xf>
    <xf numFmtId="15" fontId="9" fillId="5" borderId="1" xfId="2" applyNumberFormat="1" applyFont="1" applyFill="1" applyBorder="1" applyAlignment="1">
      <alignment vertical="center" wrapText="1"/>
    </xf>
    <xf numFmtId="17" fontId="8" fillId="6" borderId="1" xfId="2" applyNumberFormat="1" applyFont="1" applyFill="1" applyBorder="1" applyAlignment="1">
      <alignment horizontal="center" vertical="center"/>
    </xf>
    <xf numFmtId="17" fontId="8" fillId="4" borderId="1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17" fontId="8" fillId="6" borderId="1" xfId="2" applyNumberFormat="1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vertical="center"/>
    </xf>
    <xf numFmtId="15" fontId="4" fillId="0" borderId="1" xfId="2" applyNumberFormat="1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6" fontId="4" fillId="7" borderId="1" xfId="3" applyNumberFormat="1" applyFont="1" applyFill="1" applyBorder="1" applyAlignment="1">
      <alignment vertical="center"/>
    </xf>
    <xf numFmtId="4" fontId="1" fillId="0" borderId="0" xfId="2" applyNumberFormat="1"/>
    <xf numFmtId="166" fontId="4" fillId="0" borderId="1" xfId="3" applyNumberFormat="1" applyFont="1" applyBorder="1" applyAlignment="1">
      <alignment vertical="center"/>
    </xf>
    <xf numFmtId="167" fontId="4" fillId="0" borderId="1" xfId="3" applyNumberFormat="1" applyFont="1" applyBorder="1" applyAlignment="1">
      <alignment vertical="center"/>
    </xf>
    <xf numFmtId="164" fontId="4" fillId="0" borderId="1" xfId="1" applyNumberFormat="1" applyFont="1" applyBorder="1"/>
    <xf numFmtId="0" fontId="1" fillId="0" borderId="0" xfId="2"/>
    <xf numFmtId="0" fontId="4" fillId="8" borderId="1" xfId="2" applyFont="1" applyFill="1" applyBorder="1" applyAlignment="1">
      <alignment vertical="center"/>
    </xf>
    <xf numFmtId="164" fontId="4" fillId="9" borderId="1" xfId="1" applyNumberFormat="1" applyFont="1" applyFill="1" applyBorder="1" applyAlignment="1">
      <alignment vertical="center"/>
    </xf>
    <xf numFmtId="166" fontId="4" fillId="8" borderId="1" xfId="3" applyNumberFormat="1" applyFont="1" applyFill="1" applyBorder="1" applyAlignment="1">
      <alignment vertical="center"/>
    </xf>
    <xf numFmtId="167" fontId="4" fillId="8" borderId="1" xfId="3" applyNumberFormat="1" applyFont="1" applyFill="1" applyBorder="1" applyAlignment="1">
      <alignment vertical="center"/>
    </xf>
    <xf numFmtId="164" fontId="4" fillId="9" borderId="1" xfId="1" applyNumberFormat="1" applyFont="1" applyFill="1" applyBorder="1"/>
    <xf numFmtId="166" fontId="4" fillId="9" borderId="1" xfId="1" applyNumberFormat="1" applyFont="1" applyFill="1" applyBorder="1"/>
    <xf numFmtId="15" fontId="4" fillId="0" borderId="0" xfId="2" applyNumberFormat="1" applyFont="1"/>
  </cellXfs>
  <cellStyles count="4">
    <cellStyle name="Comma 2" xfId="1" xr:uid="{075F53B7-550C-4717-9465-922BF760108D}"/>
    <cellStyle name="Normal" xfId="0" builtinId="0"/>
    <cellStyle name="Normal 2" xfId="2" xr:uid="{B40BE16B-CDE4-4291-A6D1-4BA09D42C04F}"/>
    <cellStyle name="Per cent 2" xfId="3" xr:uid="{E5CB07F7-9EFE-4A32-94EE-112154957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268942</xdr:colOff>
      <xdr:row>1</xdr:row>
      <xdr:rowOff>11206</xdr:rowOff>
    </xdr:from>
    <xdr:to>
      <xdr:col>4</xdr:col>
      <xdr:colOff>707091</xdr:colOff>
      <xdr:row>3</xdr:row>
      <xdr:rowOff>68355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CB29CD-CE98-49F6-8728-6824C8D84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2592" y="220756"/>
          <a:ext cx="438149" cy="4381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NE2055513\AppData\Local\Microsoft\Windows\INetCache\Content.Outlook\6O1DALCG\NSE%20500%20Quarterly%20Result%20Tracker%20(003).xlsx" TargetMode="External"/><Relationship Id="rId1" Type="http://schemas.openxmlformats.org/officeDocument/2006/relationships/externalLinkPath" Target="file:///C:\Users\HNE2055513\AppData\Local\Microsoft\Windows\INetCache\Content.Outlook\6O1DALCG\NSE%20500%20Quarterly%20Result%20Tracker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tor View"/>
      <sheetName val="Sector (Est vs Actuals)"/>
      <sheetName val="Actuals"/>
      <sheetName val="Est vs Actuals"/>
      <sheetName val="Master"/>
      <sheetName val="Exc"/>
      <sheetName val="AceP"/>
      <sheetName val="EST_P"/>
    </sheetNames>
    <sheetDataSet>
      <sheetData sheetId="0">
        <row r="2">
          <cell r="B2" t="str">
            <v>IT Services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H1">
            <v>7</v>
          </cell>
          <cell r="K1">
            <v>10</v>
          </cell>
          <cell r="N1">
            <v>13</v>
          </cell>
          <cell r="AL1">
            <v>37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C835-E908-496E-87F1-5519EF7AD1D5}">
  <dimension ref="A1:AV507"/>
  <sheetViews>
    <sheetView showGridLines="0" tabSelected="1" zoomScale="85" zoomScaleNormal="85" workbookViewId="0">
      <pane xSplit="7" ySplit="7" topLeftCell="H8" activePane="bottomRight" state="frozen"/>
      <selection activeCell="I28" sqref="I28"/>
      <selection pane="topRight" activeCell="I28" sqref="I28"/>
      <selection pane="bottomLeft" activeCell="I28" sqref="I28"/>
      <selection pane="bottomRight" activeCell="M8" sqref="M8"/>
    </sheetView>
  </sheetViews>
  <sheetFormatPr defaultColWidth="11.28515625" defaultRowHeight="13.5" x14ac:dyDescent="0.25"/>
  <cols>
    <col min="1" max="1" width="8.5703125" style="1" customWidth="1"/>
    <col min="2" max="2" width="1.7109375" style="1" customWidth="1"/>
    <col min="3" max="3" width="11.28515625" style="8" customWidth="1"/>
    <col min="4" max="4" width="16.42578125" style="8" customWidth="1"/>
    <col min="5" max="6" width="13.5703125" style="8" customWidth="1"/>
    <col min="7" max="7" width="24.42578125" style="8" customWidth="1"/>
    <col min="8" max="8" width="13.28515625" style="8" customWidth="1"/>
    <col min="9" max="9" width="14.85546875" style="51" customWidth="1"/>
    <col min="10" max="17" width="11.28515625" style="8" customWidth="1"/>
    <col min="18" max="18" width="2.28515625" style="8" customWidth="1"/>
    <col min="19" max="28" width="11.28515625" style="8" customWidth="1"/>
    <col min="29" max="29" width="7.85546875" style="8" customWidth="1"/>
    <col min="30" max="37" width="11.28515625" style="8" customWidth="1"/>
    <col min="38" max="38" width="10.85546875" style="8" bestFit="1" customWidth="1"/>
    <col min="39" max="46" width="11.28515625" style="8" customWidth="1"/>
    <col min="47" max="47" width="13.42578125" style="1" bestFit="1" customWidth="1"/>
    <col min="48" max="16384" width="11.28515625" style="8"/>
  </cols>
  <sheetData>
    <row r="1" spans="1:48" x14ac:dyDescent="0.25">
      <c r="B1" s="2"/>
      <c r="C1" s="3"/>
      <c r="D1" s="4">
        <v>43646</v>
      </c>
      <c r="E1" s="4"/>
      <c r="F1" s="4"/>
      <c r="G1" s="3"/>
      <c r="H1" s="3"/>
      <c r="I1" s="3" t="s">
        <v>0</v>
      </c>
      <c r="J1" s="5">
        <f>SUM(J8:J506)</f>
        <v>3640597.4677070561</v>
      </c>
      <c r="K1" s="6"/>
      <c r="L1" s="6"/>
      <c r="M1" s="5">
        <f>SUM(M8:M506)</f>
        <v>104914.018</v>
      </c>
      <c r="N1" s="5">
        <f>SUM(N8:N506)</f>
        <v>3640821.859999998</v>
      </c>
      <c r="O1" s="5">
        <f>SUM(O8:O506)</f>
        <v>3776555.0919999969</v>
      </c>
      <c r="P1" s="7">
        <f>M1/N1-1</f>
        <v>-0.9711839738294693</v>
      </c>
      <c r="Q1" s="7">
        <f>M1/O1-1</f>
        <v>-0.97221965112537534</v>
      </c>
      <c r="S1" s="5">
        <f>SUM(S8:S506)</f>
        <v>685841.58484875364</v>
      </c>
      <c r="T1" s="5"/>
      <c r="U1" s="5"/>
      <c r="V1" s="5">
        <f>SUM(V8:V506)</f>
        <v>36040.712</v>
      </c>
      <c r="W1" s="5">
        <f>SUM(W8:W506)</f>
        <v>670964.89799999981</v>
      </c>
      <c r="X1" s="5">
        <f>SUM(X8:X506)</f>
        <v>703763.26099999994</v>
      </c>
      <c r="Y1" s="7">
        <f>V1/W1-1</f>
        <v>-0.9462852496346239</v>
      </c>
      <c r="Z1" s="7">
        <f>V1/X1-1</f>
        <v>-0.94878858559796286</v>
      </c>
      <c r="AA1" s="7">
        <f>IFERROR(V1/M1,0)</f>
        <v>0.34352618160139475</v>
      </c>
      <c r="AB1" s="5">
        <f>IFERROR((AA1-(W1/N1))*10000,0)</f>
        <v>1592.3677558250204</v>
      </c>
      <c r="AD1" s="5">
        <f>SUM(AD8:AD506)</f>
        <v>420798.54529999982</v>
      </c>
      <c r="AE1" s="5"/>
      <c r="AF1" s="5"/>
      <c r="AG1" s="5">
        <f>SUM(AG8:AG506)</f>
        <v>16507.406999999999</v>
      </c>
      <c r="AH1" s="5">
        <f>SUM(AH8:AH506)</f>
        <v>423497.84500000003</v>
      </c>
      <c r="AI1" s="5">
        <f>SUM(AI8:AI506)</f>
        <v>413311.53100000025</v>
      </c>
      <c r="AJ1" s="7">
        <f>AG1/AH1-1</f>
        <v>-0.96102127272926263</v>
      </c>
      <c r="AK1" s="7">
        <f>AG1/AI1-1</f>
        <v>-0.96006061829424261</v>
      </c>
      <c r="AM1" s="5">
        <f>SUM(AM8:AM506)</f>
        <v>420798.54529999982</v>
      </c>
      <c r="AN1" s="5"/>
      <c r="AO1" s="5"/>
      <c r="AP1" s="5">
        <f>SUM(AP8:AP506)</f>
        <v>16440.945999999996</v>
      </c>
      <c r="AQ1" s="5">
        <f>SUM(AQ8:AQ506)</f>
        <v>416843.88700000016</v>
      </c>
      <c r="AR1" s="5">
        <f>SUM(AR8:AR506)</f>
        <v>408801.2220000003</v>
      </c>
      <c r="AS1" s="7">
        <f>AP1/AQ1-1</f>
        <v>-0.96055850520365194</v>
      </c>
      <c r="AT1" s="7">
        <f>AP1/AR1-1</f>
        <v>-0.95978254194161883</v>
      </c>
      <c r="AV1" s="8" t="s">
        <v>1</v>
      </c>
    </row>
    <row r="2" spans="1:48" ht="15" customHeight="1" x14ac:dyDescent="0.25">
      <c r="A2" s="9" t="e">
        <f>#REF!</f>
        <v>#REF!</v>
      </c>
      <c r="B2" s="2"/>
      <c r="C2" s="3"/>
      <c r="D2" s="10">
        <v>46112</v>
      </c>
      <c r="E2" s="11"/>
      <c r="F2" s="11"/>
      <c r="G2" s="3"/>
      <c r="H2" s="3"/>
      <c r="I2" s="12" t="s">
        <v>2</v>
      </c>
      <c r="J2" s="5">
        <f>SUMIFS(J$8:J$508,$G$8:$G$508,$I2)</f>
        <v>430624.46065989562</v>
      </c>
      <c r="K2" s="6"/>
      <c r="L2" s="6"/>
      <c r="M2" s="5">
        <f t="shared" ref="M2:O3" si="0">SUMIFS(M$8:M$508,$G$8:$G$508,$I2)</f>
        <v>29830.968000000001</v>
      </c>
      <c r="N2" s="5">
        <f t="shared" si="0"/>
        <v>483180.49</v>
      </c>
      <c r="O2" s="5">
        <f t="shared" si="0"/>
        <v>502261.45799999981</v>
      </c>
      <c r="P2" s="7">
        <f>M2/N2-1</f>
        <v>-0.93826123236060299</v>
      </c>
      <c r="Q2" s="7">
        <f>M2/O2-1</f>
        <v>-0.94060669492979487</v>
      </c>
      <c r="S2" s="5">
        <f>SUMIFS(S$8:S$508,$G$8:$G$508,$I2)</f>
        <v>8947.9483333333301</v>
      </c>
      <c r="T2" s="5"/>
      <c r="U2" s="5"/>
      <c r="V2" s="5">
        <f t="shared" ref="V2:X3" si="1">SUMIFS(V$8:V$508,$G$8:$G$508,$I2)</f>
        <v>16137.321999999998</v>
      </c>
      <c r="W2" s="5">
        <f t="shared" si="1"/>
        <v>18499.533999999996</v>
      </c>
      <c r="X2" s="5">
        <f t="shared" si="1"/>
        <v>25583.527000000002</v>
      </c>
      <c r="Y2" s="7"/>
      <c r="Z2" s="7"/>
      <c r="AA2" s="7"/>
      <c r="AB2" s="5"/>
      <c r="AD2" s="5">
        <f>SUMIFS(AD$8:AD$508,$G$8:$G$508,$I2)</f>
        <v>66077.786099999998</v>
      </c>
      <c r="AE2" s="5"/>
      <c r="AF2" s="5"/>
      <c r="AG2" s="5">
        <f t="shared" ref="AG2:AI3" si="2">SUMIFS(AG$8:AG$508,$G$8:$G$508,$I2)</f>
        <v>2787.9369999999981</v>
      </c>
      <c r="AH2" s="5">
        <f t="shared" si="2"/>
        <v>65636.97</v>
      </c>
      <c r="AI2" s="5">
        <f t="shared" si="2"/>
        <v>62831.253000000004</v>
      </c>
      <c r="AJ2" s="7">
        <f>AG2/AH2-1</f>
        <v>-0.95752489793480722</v>
      </c>
      <c r="AK2" s="7">
        <f>AG2/AI2-1</f>
        <v>-0.95562818077175704</v>
      </c>
      <c r="AM2" s="5">
        <f>SUMIFS(AM$8:AM$508,$G$8:$G$508,$I2)</f>
        <v>66077.786099999998</v>
      </c>
      <c r="AN2" s="5"/>
      <c r="AO2" s="5"/>
      <c r="AP2" s="5">
        <f t="shared" ref="AP2:AR3" si="3">SUMIFS(AP$8:AP$508,$G$8:$G$508,$I2)</f>
        <v>2787.5759999999991</v>
      </c>
      <c r="AQ2" s="5">
        <f t="shared" si="3"/>
        <v>64224.853000000003</v>
      </c>
      <c r="AR2" s="5">
        <f t="shared" si="3"/>
        <v>61758.888000000006</v>
      </c>
      <c r="AS2" s="7">
        <f>AP2/AQ2-1</f>
        <v>-0.95659661533207407</v>
      </c>
      <c r="AT2" s="7">
        <f>AP2/AR2-1</f>
        <v>-0.95486356554865437</v>
      </c>
      <c r="AV2" s="8" t="s">
        <v>3</v>
      </c>
    </row>
    <row r="3" spans="1:48" ht="15" customHeight="1" x14ac:dyDescent="0.25">
      <c r="A3" s="9" t="e">
        <f>#REF!</f>
        <v>#REF!</v>
      </c>
      <c r="C3" s="3"/>
      <c r="D3" s="13"/>
      <c r="E3" s="11"/>
      <c r="F3" s="11"/>
      <c r="G3" s="3"/>
      <c r="H3" s="3"/>
      <c r="I3" s="12" t="s">
        <v>4</v>
      </c>
      <c r="J3" s="5">
        <f>SUMIFS(J$8:J$508,$G$8:$G$508,$I3)</f>
        <v>191321.53402854997</v>
      </c>
      <c r="K3" s="6"/>
      <c r="L3" s="6"/>
      <c r="M3" s="5">
        <f t="shared" si="0"/>
        <v>0</v>
      </c>
      <c r="N3" s="5">
        <f t="shared" si="0"/>
        <v>210306.86200000005</v>
      </c>
      <c r="O3" s="5">
        <f t="shared" si="0"/>
        <v>219662.76300000001</v>
      </c>
      <c r="P3" s="7">
        <f>M3/N3-1</f>
        <v>-1</v>
      </c>
      <c r="Q3" s="7">
        <f>M3/O3-1</f>
        <v>-1</v>
      </c>
      <c r="S3" s="5">
        <f>SUMIFS(S$8:S$508,$G$8:$G$508,$I3)</f>
        <v>142036.21179181928</v>
      </c>
      <c r="T3" s="5"/>
      <c r="U3" s="5"/>
      <c r="V3" s="5">
        <f t="shared" si="1"/>
        <v>0</v>
      </c>
      <c r="W3" s="5">
        <f t="shared" si="1"/>
        <v>155876.48199999993</v>
      </c>
      <c r="X3" s="5">
        <f t="shared" si="1"/>
        <v>159772.72899999996</v>
      </c>
      <c r="Y3" s="7">
        <f>V3/W3-1</f>
        <v>-1</v>
      </c>
      <c r="Z3" s="7">
        <f>V3/X3-1</f>
        <v>-1</v>
      </c>
      <c r="AA3" s="7">
        <f>IFERROR(V3/M3,0)</f>
        <v>0</v>
      </c>
      <c r="AB3" s="5"/>
      <c r="AD3" s="5">
        <f>SUMIFS(AD$8:AD$508,$G$8:$G$508,$I3)</f>
        <v>88382.869699999996</v>
      </c>
      <c r="AE3" s="5"/>
      <c r="AF3" s="5"/>
      <c r="AG3" s="5">
        <f t="shared" si="2"/>
        <v>0</v>
      </c>
      <c r="AH3" s="5">
        <f t="shared" si="2"/>
        <v>93135.755999999994</v>
      </c>
      <c r="AI3" s="5">
        <f t="shared" si="2"/>
        <v>99462.797999999995</v>
      </c>
      <c r="AJ3" s="7">
        <f>AG3/AH3-1</f>
        <v>-1</v>
      </c>
      <c r="AK3" s="7">
        <f>AG3/AI3-1</f>
        <v>-1</v>
      </c>
      <c r="AM3" s="5">
        <f>SUMIFS(AM$8:AM$508,$G$8:$G$508,$I3)</f>
        <v>88382.869699999996</v>
      </c>
      <c r="AN3" s="5"/>
      <c r="AO3" s="5"/>
      <c r="AP3" s="5">
        <f t="shared" si="3"/>
        <v>0</v>
      </c>
      <c r="AQ3" s="5">
        <f t="shared" si="3"/>
        <v>93135.755999999994</v>
      </c>
      <c r="AR3" s="5">
        <f t="shared" si="3"/>
        <v>99462.797999999995</v>
      </c>
      <c r="AS3" s="7">
        <f>AP3/AQ3-1</f>
        <v>-1</v>
      </c>
      <c r="AT3" s="7">
        <f>AP3/AR3-1</f>
        <v>-1</v>
      </c>
      <c r="AV3" s="8" t="s">
        <v>5</v>
      </c>
    </row>
    <row r="4" spans="1:48" ht="15" customHeight="1" x14ac:dyDescent="0.25">
      <c r="A4" s="1" t="e">
        <f>#REF!</f>
        <v>#REF!</v>
      </c>
      <c r="B4" s="2"/>
      <c r="C4" s="3"/>
      <c r="D4" s="14"/>
      <c r="E4" s="11"/>
      <c r="F4" s="11"/>
      <c r="G4" s="3"/>
      <c r="H4" s="3"/>
      <c r="I4" s="12" t="s">
        <v>6</v>
      </c>
      <c r="J4" s="5">
        <f>J1-SUM(J2:J3)</f>
        <v>3018651.4730186104</v>
      </c>
      <c r="K4" s="6"/>
      <c r="L4" s="6"/>
      <c r="M4" s="5">
        <f>M1-SUM(M2:M3)</f>
        <v>75083.049999999988</v>
      </c>
      <c r="N4" s="5">
        <f>N1-SUM(N2:N3)</f>
        <v>2947334.5079999981</v>
      </c>
      <c r="O4" s="5">
        <f>O1-SUM(O2:O3)</f>
        <v>3054630.870999997</v>
      </c>
      <c r="P4" s="7">
        <f>M4/N4-1</f>
        <v>-0.97452510063034892</v>
      </c>
      <c r="Q4" s="7">
        <f>M4/O4-1</f>
        <v>-0.97541992693362001</v>
      </c>
      <c r="S4" s="5">
        <f>S1-SUM(S2:S3)</f>
        <v>534857.42472360097</v>
      </c>
      <c r="T4" s="5"/>
      <c r="U4" s="5"/>
      <c r="V4" s="5">
        <f>V1-SUM(V2:V3)</f>
        <v>19903.39</v>
      </c>
      <c r="W4" s="5">
        <f>W1-SUM(W2:W3)</f>
        <v>496588.88199999987</v>
      </c>
      <c r="X4" s="5">
        <f>X1-SUM(X2:X3)</f>
        <v>518407.005</v>
      </c>
      <c r="Y4" s="7">
        <f>V4/W4-1</f>
        <v>-0.95991978330276029</v>
      </c>
      <c r="Z4" s="7">
        <f>V4/X4-1</f>
        <v>-0.9616066337683844</v>
      </c>
      <c r="AA4" s="7">
        <f>IFERROR(V4/M4,0)</f>
        <v>0.26508499588122758</v>
      </c>
      <c r="AB4" s="5">
        <f>IFERROR((AA4-(W4/N4))*10000,0)</f>
        <v>965.97543692783893</v>
      </c>
      <c r="AD4" s="5">
        <f>AD1-SUM(AD2:AD3)</f>
        <v>266337.88949999982</v>
      </c>
      <c r="AE4" s="5"/>
      <c r="AF4" s="5"/>
      <c r="AG4" s="5">
        <f>AG1-SUM(AG2:AG3)</f>
        <v>13719.470000000001</v>
      </c>
      <c r="AH4" s="5">
        <f>AH1-SUM(AH2:AH3)</f>
        <v>264725.11900000006</v>
      </c>
      <c r="AI4" s="5">
        <f>AI1-SUM(AI2:AI3)</f>
        <v>251017.48000000024</v>
      </c>
      <c r="AJ4" s="7">
        <f>AG4/AH4-1</f>
        <v>-0.94817465735089534</v>
      </c>
      <c r="AK4" s="7">
        <f>AG4/AI4-1</f>
        <v>-0.94534456325511673</v>
      </c>
      <c r="AM4" s="5">
        <f>AM1-SUM(AM2:AM3)</f>
        <v>266337.88949999982</v>
      </c>
      <c r="AN4" s="5"/>
      <c r="AO4" s="5"/>
      <c r="AP4" s="5">
        <f>AP1-SUM(AP2:AP3)</f>
        <v>13653.369999999997</v>
      </c>
      <c r="AQ4" s="5">
        <f>AQ1-SUM(AQ2:AQ3)</f>
        <v>259483.27800000017</v>
      </c>
      <c r="AR4" s="5">
        <f>AR1-SUM(AR2:AR3)</f>
        <v>247579.53600000031</v>
      </c>
      <c r="AS4" s="7">
        <f>AP4/AQ4-1</f>
        <v>-0.94738246678076887</v>
      </c>
      <c r="AT4" s="7">
        <f>AP4/AR4-1</f>
        <v>-0.9448525907246228</v>
      </c>
      <c r="AV4" s="8" t="s">
        <v>1</v>
      </c>
    </row>
    <row r="5" spans="1:48" ht="26.25" customHeight="1" x14ac:dyDescent="0.25">
      <c r="B5" s="2"/>
      <c r="C5" s="3"/>
      <c r="D5" s="14"/>
      <c r="E5" s="11"/>
      <c r="F5" s="11"/>
      <c r="G5" s="12"/>
      <c r="H5" s="12"/>
      <c r="I5" s="15"/>
      <c r="J5" s="5"/>
      <c r="K5" s="5"/>
      <c r="L5" s="5"/>
      <c r="M5" s="5">
        <f>[1]AceP!H1</f>
        <v>7</v>
      </c>
      <c r="N5" s="5">
        <f>+M5+1</f>
        <v>8</v>
      </c>
      <c r="O5" s="5">
        <f>+N5+1</f>
        <v>9</v>
      </c>
      <c r="P5" s="5"/>
      <c r="Q5" s="5"/>
      <c r="S5" s="5"/>
      <c r="T5" s="5"/>
      <c r="U5" s="16"/>
      <c r="V5" s="5">
        <f>[1]AceP!K1</f>
        <v>10</v>
      </c>
      <c r="W5" s="5">
        <f>+V5+1</f>
        <v>11</v>
      </c>
      <c r="X5" s="5">
        <f>+W5+1</f>
        <v>12</v>
      </c>
      <c r="Y5" s="5"/>
      <c r="Z5" s="5"/>
      <c r="AA5" s="7"/>
      <c r="AB5" s="5"/>
      <c r="AD5" s="5"/>
      <c r="AE5" s="5"/>
      <c r="AF5" s="5"/>
      <c r="AG5" s="5">
        <f>[1]AceP!AL1</f>
        <v>37</v>
      </c>
      <c r="AH5" s="5">
        <f>+AG5+1</f>
        <v>38</v>
      </c>
      <c r="AI5" s="5">
        <f>+AH5+1</f>
        <v>39</v>
      </c>
      <c r="AJ5" s="7"/>
      <c r="AK5" s="7"/>
      <c r="AM5" s="5"/>
      <c r="AN5" s="5"/>
      <c r="AO5" s="5"/>
      <c r="AP5" s="5">
        <f>[1]AceP!N1</f>
        <v>13</v>
      </c>
      <c r="AQ5" s="5">
        <f>AP5+1</f>
        <v>14</v>
      </c>
      <c r="AR5" s="5">
        <f>AQ5+1</f>
        <v>15</v>
      </c>
      <c r="AS5" s="5"/>
      <c r="AT5" s="5"/>
    </row>
    <row r="6" spans="1:48" ht="33" customHeight="1" x14ac:dyDescent="0.25">
      <c r="A6" s="1" t="s">
        <v>7</v>
      </c>
      <c r="B6" s="17" t="str">
        <f>'[1]Sector View'!B2</f>
        <v>IT Services</v>
      </c>
      <c r="C6" s="3"/>
      <c r="D6" s="18"/>
      <c r="E6" s="18"/>
      <c r="F6" s="18"/>
      <c r="G6" s="18"/>
      <c r="H6" s="19"/>
      <c r="I6" s="13"/>
      <c r="J6" s="20" t="s">
        <v>8</v>
      </c>
      <c r="K6" s="21"/>
      <c r="L6" s="22"/>
      <c r="M6" s="23" t="s">
        <v>9</v>
      </c>
      <c r="N6" s="24"/>
      <c r="O6" s="24"/>
      <c r="P6" s="24"/>
      <c r="Q6" s="25"/>
      <c r="R6" s="26"/>
      <c r="S6" s="20" t="s">
        <v>10</v>
      </c>
      <c r="T6" s="21"/>
      <c r="U6" s="22"/>
      <c r="V6" s="27" t="s">
        <v>11</v>
      </c>
      <c r="W6" s="27"/>
      <c r="X6" s="27"/>
      <c r="Y6" s="27"/>
      <c r="Z6" s="27"/>
      <c r="AA6" s="27"/>
      <c r="AB6" s="27"/>
      <c r="AC6" s="26"/>
      <c r="AD6" s="20" t="s">
        <v>12</v>
      </c>
      <c r="AE6" s="21"/>
      <c r="AF6" s="22"/>
      <c r="AG6" s="27" t="s">
        <v>13</v>
      </c>
      <c r="AH6" s="27"/>
      <c r="AI6" s="27"/>
      <c r="AJ6" s="27"/>
      <c r="AK6" s="27"/>
      <c r="AL6" s="26"/>
      <c r="AM6" s="20" t="s">
        <v>14</v>
      </c>
      <c r="AN6" s="21"/>
      <c r="AO6" s="22"/>
      <c r="AP6" s="27" t="s">
        <v>15</v>
      </c>
      <c r="AQ6" s="27"/>
      <c r="AR6" s="27"/>
      <c r="AS6" s="27"/>
      <c r="AT6" s="27"/>
    </row>
    <row r="7" spans="1:48" ht="39.75" customHeight="1" x14ac:dyDescent="0.25">
      <c r="A7" s="1">
        <v>0</v>
      </c>
      <c r="B7" s="1">
        <v>0</v>
      </c>
      <c r="C7" s="28" t="s">
        <v>16</v>
      </c>
      <c r="D7" s="28" t="s">
        <v>17</v>
      </c>
      <c r="E7" s="29" t="s">
        <v>18</v>
      </c>
      <c r="F7" s="29" t="s">
        <v>19</v>
      </c>
      <c r="G7" s="28" t="s">
        <v>20</v>
      </c>
      <c r="H7" s="28" t="s">
        <v>21</v>
      </c>
      <c r="I7" s="30" t="s">
        <v>22</v>
      </c>
      <c r="J7" s="31">
        <f>M7</f>
        <v>46112</v>
      </c>
      <c r="K7" s="31" t="s">
        <v>23</v>
      </c>
      <c r="L7" s="31" t="s">
        <v>24</v>
      </c>
      <c r="M7" s="32">
        <f>D2</f>
        <v>46112</v>
      </c>
      <c r="N7" s="32">
        <f>EOMONTH(M7,-12)</f>
        <v>45747</v>
      </c>
      <c r="O7" s="32">
        <f>EOMONTH(M7,-3)</f>
        <v>46022</v>
      </c>
      <c r="P7" s="33" t="s">
        <v>23</v>
      </c>
      <c r="Q7" s="33" t="s">
        <v>24</v>
      </c>
      <c r="R7" s="26" t="s">
        <v>7</v>
      </c>
      <c r="S7" s="31">
        <f>V7</f>
        <v>46112</v>
      </c>
      <c r="T7" s="34" t="s">
        <v>25</v>
      </c>
      <c r="U7" s="31" t="s">
        <v>26</v>
      </c>
      <c r="V7" s="32">
        <f>$M$7</f>
        <v>46112</v>
      </c>
      <c r="W7" s="32">
        <f>$N$7</f>
        <v>45747</v>
      </c>
      <c r="X7" s="32">
        <f>$O$7</f>
        <v>46022</v>
      </c>
      <c r="Y7" s="33" t="s">
        <v>23</v>
      </c>
      <c r="Z7" s="33" t="s">
        <v>24</v>
      </c>
      <c r="AA7" s="35" t="s">
        <v>25</v>
      </c>
      <c r="AB7" s="33" t="s">
        <v>26</v>
      </c>
      <c r="AC7" s="26" t="s">
        <v>7</v>
      </c>
      <c r="AD7" s="31">
        <f>AG7</f>
        <v>46112</v>
      </c>
      <c r="AE7" s="31" t="s">
        <v>23</v>
      </c>
      <c r="AF7" s="31" t="s">
        <v>24</v>
      </c>
      <c r="AG7" s="32">
        <f>$M7</f>
        <v>46112</v>
      </c>
      <c r="AH7" s="32">
        <f>$N$7</f>
        <v>45747</v>
      </c>
      <c r="AI7" s="32">
        <f>$O$7</f>
        <v>46022</v>
      </c>
      <c r="AJ7" s="32" t="str">
        <f>$P7</f>
        <v>YoY (%)</v>
      </c>
      <c r="AK7" s="32" t="str">
        <f>$Q7</f>
        <v>QoQ (%)</v>
      </c>
      <c r="AL7" s="26" t="s">
        <v>7</v>
      </c>
      <c r="AM7" s="31">
        <f>AP7</f>
        <v>46112</v>
      </c>
      <c r="AN7" s="31" t="s">
        <v>23</v>
      </c>
      <c r="AO7" s="31" t="s">
        <v>24</v>
      </c>
      <c r="AP7" s="32">
        <f>$M7</f>
        <v>46112</v>
      </c>
      <c r="AQ7" s="32">
        <f>$N$7</f>
        <v>45747</v>
      </c>
      <c r="AR7" s="32">
        <f>$O$7</f>
        <v>46022</v>
      </c>
      <c r="AS7" s="33" t="s">
        <v>23</v>
      </c>
      <c r="AT7" s="33" t="s">
        <v>24</v>
      </c>
      <c r="AU7" s="1" t="s">
        <v>7</v>
      </c>
    </row>
    <row r="8" spans="1:48" ht="18" customHeight="1" x14ac:dyDescent="0.25">
      <c r="B8" s="2">
        <f>IF(G8=$B$6,MAX(B$7:B7)+1,IF($B$6="Nifty 500 - All Sector",B7+1,0))</f>
        <v>0</v>
      </c>
      <c r="C8" s="36">
        <v>67729</v>
      </c>
      <c r="D8" s="36" t="s">
        <v>27</v>
      </c>
      <c r="E8" s="36" t="s">
        <v>527</v>
      </c>
      <c r="F8" s="36" t="s">
        <v>528</v>
      </c>
      <c r="G8" s="36" t="s">
        <v>2</v>
      </c>
      <c r="H8" s="36" t="s">
        <v>529</v>
      </c>
      <c r="I8" s="37">
        <v>46121</v>
      </c>
      <c r="J8" s="38">
        <v>289.2</v>
      </c>
      <c r="K8" s="39">
        <v>30.293746621012787</v>
      </c>
      <c r="L8" s="39">
        <v>-0.14639670745519862</v>
      </c>
      <c r="M8" s="38">
        <v>287.81799999999998</v>
      </c>
      <c r="N8" s="38">
        <v>221.96</v>
      </c>
      <c r="O8" s="38">
        <v>289.62400000000002</v>
      </c>
      <c r="P8" s="39">
        <v>29.671111912056226</v>
      </c>
      <c r="Q8" s="39">
        <v>-0.62356710769827517</v>
      </c>
      <c r="R8" s="40"/>
      <c r="S8" s="38">
        <v>128.1</v>
      </c>
      <c r="T8" s="39">
        <v>44.294605809128626</v>
      </c>
      <c r="U8" s="39">
        <v>336.7862251730898</v>
      </c>
      <c r="V8" s="38">
        <v>84.792000000000002</v>
      </c>
      <c r="W8" s="38">
        <v>90.840999999999994</v>
      </c>
      <c r="X8" s="38">
        <v>131.429</v>
      </c>
      <c r="Y8" s="39">
        <v>-6.6588875067425395</v>
      </c>
      <c r="Z8" s="39">
        <v>-35.484558202527609</v>
      </c>
      <c r="AA8" s="41">
        <v>29.460283929427629</v>
      </c>
      <c r="AB8" s="42">
        <v>-1146.64596279701</v>
      </c>
      <c r="AC8" s="40"/>
      <c r="AD8" s="43">
        <v>92.4</v>
      </c>
      <c r="AE8" s="39">
        <v>25.459951934174274</v>
      </c>
      <c r="AF8" s="39">
        <v>-7.6941519649956991</v>
      </c>
      <c r="AG8" s="43">
        <v>103.447</v>
      </c>
      <c r="AH8" s="43">
        <v>73.649000000000001</v>
      </c>
      <c r="AI8" s="43">
        <v>100.102</v>
      </c>
      <c r="AJ8" s="39">
        <v>40.45947670708361</v>
      </c>
      <c r="AK8" s="39">
        <v>3.3415915765918847</v>
      </c>
      <c r="AL8" s="44"/>
      <c r="AM8" s="43">
        <v>92.4</v>
      </c>
      <c r="AN8" s="39">
        <v>25.798151148384662</v>
      </c>
      <c r="AO8" s="39">
        <v>-7.4621185566493997</v>
      </c>
      <c r="AP8" s="43">
        <v>103.086</v>
      </c>
      <c r="AQ8" s="43">
        <v>73.450999999999993</v>
      </c>
      <c r="AR8" s="43">
        <v>99.850999999999999</v>
      </c>
      <c r="AS8" s="39">
        <v>40.346625641584197</v>
      </c>
      <c r="AT8" s="39">
        <v>3.2398273427406865</v>
      </c>
      <c r="AU8" s="1">
        <v>30358.155234779999</v>
      </c>
    </row>
    <row r="9" spans="1:48" ht="18" customHeight="1" x14ac:dyDescent="0.25">
      <c r="B9" s="2">
        <f>IF(G9=$B$6,MAX(B$7:B8)+1,IF($B$6="Nifty 500 - All Sector",B8+1,0))</f>
        <v>1</v>
      </c>
      <c r="C9" s="36">
        <v>5400</v>
      </c>
      <c r="D9" s="36" t="s">
        <v>28</v>
      </c>
      <c r="E9" s="36" t="s">
        <v>527</v>
      </c>
      <c r="F9" s="36" t="s">
        <v>530</v>
      </c>
      <c r="G9" s="36" t="s">
        <v>531</v>
      </c>
      <c r="H9" s="36" t="s">
        <v>532</v>
      </c>
      <c r="I9" s="37">
        <v>46121</v>
      </c>
      <c r="J9" s="38">
        <v>69018.95</v>
      </c>
      <c r="K9" s="39">
        <v>7.0409745808712954</v>
      </c>
      <c r="L9" s="39">
        <v>2.8797680623667832</v>
      </c>
      <c r="M9" s="38">
        <v>70698</v>
      </c>
      <c r="N9" s="38">
        <v>64479</v>
      </c>
      <c r="O9" s="38">
        <v>67087</v>
      </c>
      <c r="P9" s="39">
        <v>9.6450006979016401</v>
      </c>
      <c r="Q9" s="39">
        <v>5.3825629406591524</v>
      </c>
      <c r="R9" s="40"/>
      <c r="S9" s="38">
        <v>18610.264285714286</v>
      </c>
      <c r="T9" s="39">
        <v>26.963992187238844</v>
      </c>
      <c r="U9" s="39">
        <v>62.983688086002232</v>
      </c>
      <c r="V9" s="38">
        <v>19276</v>
      </c>
      <c r="W9" s="38">
        <v>16980</v>
      </c>
      <c r="X9" s="38">
        <v>18269</v>
      </c>
      <c r="Y9" s="39">
        <v>13.52179034157832</v>
      </c>
      <c r="Z9" s="39">
        <v>5.512069626142635</v>
      </c>
      <c r="AA9" s="41">
        <v>27.265269173102492</v>
      </c>
      <c r="AB9" s="42">
        <v>93.111386672367047</v>
      </c>
      <c r="AC9" s="40"/>
      <c r="AD9" s="43">
        <v>13551.482599999999</v>
      </c>
      <c r="AE9" s="39">
        <v>10.237392011713986</v>
      </c>
      <c r="AF9" s="39">
        <v>26.413083955223883</v>
      </c>
      <c r="AG9" s="43">
        <v>13784</v>
      </c>
      <c r="AH9" s="43">
        <v>12293</v>
      </c>
      <c r="AI9" s="43">
        <v>10720</v>
      </c>
      <c r="AJ9" s="39">
        <v>12.128853819246732</v>
      </c>
      <c r="AK9" s="39">
        <v>28.582089552238799</v>
      </c>
      <c r="AL9" s="44"/>
      <c r="AM9" s="43">
        <v>13551.482599999999</v>
      </c>
      <c r="AN9" s="39">
        <v>10.85964168848168</v>
      </c>
      <c r="AO9" s="39">
        <v>27.160388477057328</v>
      </c>
      <c r="AP9" s="43">
        <v>13718</v>
      </c>
      <c r="AQ9" s="43">
        <v>12224</v>
      </c>
      <c r="AR9" s="43">
        <v>10657</v>
      </c>
      <c r="AS9" s="39">
        <v>12.221858638743456</v>
      </c>
      <c r="AT9" s="39">
        <v>28.722905132776578</v>
      </c>
      <c r="AU9" s="1">
        <v>924204.27559791994</v>
      </c>
    </row>
    <row r="10" spans="1:48" ht="18" customHeight="1" x14ac:dyDescent="0.25">
      <c r="B10" s="2">
        <f>IF(G10=$B$6,MAX(B$7:B9)+1,IF($B$6="Nifty 500 - All Sector",B9+1,0))</f>
        <v>0</v>
      </c>
      <c r="C10" s="36">
        <v>20967</v>
      </c>
      <c r="D10" s="36" t="s">
        <v>29</v>
      </c>
      <c r="E10" s="36" t="s">
        <v>533</v>
      </c>
      <c r="F10" s="36" t="s">
        <v>534</v>
      </c>
      <c r="G10" s="36" t="s">
        <v>2</v>
      </c>
      <c r="H10" s="36" t="s">
        <v>535</v>
      </c>
      <c r="I10" s="37">
        <v>46125</v>
      </c>
      <c r="J10" s="38">
        <v>1541.5666666666666</v>
      </c>
      <c r="K10" s="39">
        <v>21.460669140685518</v>
      </c>
      <c r="L10" s="39">
        <v>1.7757443315485677</v>
      </c>
      <c r="M10" s="38">
        <v>1517.01</v>
      </c>
      <c r="N10" s="38">
        <v>1269.19</v>
      </c>
      <c r="O10" s="38">
        <v>1514.67</v>
      </c>
      <c r="P10" s="39">
        <v>19.525839314838599</v>
      </c>
      <c r="Q10" s="39">
        <v>0.15448909663491328</v>
      </c>
      <c r="R10" s="40"/>
      <c r="S10" s="38">
        <v>1174.3</v>
      </c>
      <c r="T10" s="39">
        <v>76.17575194066643</v>
      </c>
      <c r="U10" s="39">
        <v>570.95490868777858</v>
      </c>
      <c r="V10" s="38">
        <v>1160.07</v>
      </c>
      <c r="W10" s="38">
        <v>894.35</v>
      </c>
      <c r="X10" s="38">
        <v>1140.33</v>
      </c>
      <c r="Y10" s="39">
        <v>29.710963269413536</v>
      </c>
      <c r="Z10" s="39">
        <v>1.7310778458867082</v>
      </c>
      <c r="AA10" s="41">
        <v>76.470820891094988</v>
      </c>
      <c r="AB10" s="42">
        <v>600.4618037306343</v>
      </c>
      <c r="AC10" s="40"/>
      <c r="AD10" s="43">
        <v>859.4833000000001</v>
      </c>
      <c r="AE10" s="39">
        <v>24.254861141229721</v>
      </c>
      <c r="AF10" s="39">
        <v>-6.2814663773457236</v>
      </c>
      <c r="AG10" s="43">
        <v>763.42</v>
      </c>
      <c r="AH10" s="43">
        <v>691.71</v>
      </c>
      <c r="AI10" s="43">
        <v>917.09</v>
      </c>
      <c r="AJ10" s="39">
        <v>10.367061340735262</v>
      </c>
      <c r="AK10" s="39">
        <v>-16.756261653709025</v>
      </c>
      <c r="AL10" s="44"/>
      <c r="AM10" s="43">
        <v>859.4833000000001</v>
      </c>
      <c r="AN10" s="39">
        <v>24.254861141229721</v>
      </c>
      <c r="AO10" s="39">
        <v>-6.2814663773457236</v>
      </c>
      <c r="AP10" s="43">
        <v>763.42</v>
      </c>
      <c r="AQ10" s="43">
        <v>691.71</v>
      </c>
      <c r="AR10" s="43">
        <v>917.09</v>
      </c>
      <c r="AS10" s="39">
        <v>10.367061340735262</v>
      </c>
      <c r="AT10" s="39">
        <v>-16.756261653709025</v>
      </c>
      <c r="AU10" s="1">
        <v>158941.18356899999</v>
      </c>
    </row>
    <row r="11" spans="1:48" ht="18" customHeight="1" x14ac:dyDescent="0.25">
      <c r="B11" s="2">
        <f>IF(G11=$B$6,MAX(B$7:B10)+1,IF($B$6="Nifty 500 - All Sector",B10+1,0))</f>
        <v>0</v>
      </c>
      <c r="C11" s="36">
        <v>20793</v>
      </c>
      <c r="D11" s="36" t="s">
        <v>30</v>
      </c>
      <c r="E11" s="36" t="s">
        <v>527</v>
      </c>
      <c r="F11" s="36" t="s">
        <v>536</v>
      </c>
      <c r="G11" s="36" t="s">
        <v>537</v>
      </c>
      <c r="H11" s="36" t="s">
        <v>529</v>
      </c>
      <c r="I11" s="37">
        <v>46126</v>
      </c>
      <c r="J11" s="38">
        <v>3308.5250000000001</v>
      </c>
      <c r="K11" s="39">
        <v>8.7525680006574014</v>
      </c>
      <c r="L11" s="39">
        <v>22.480351834507474</v>
      </c>
      <c r="M11" s="38">
        <v>3306.75</v>
      </c>
      <c r="N11" s="38">
        <v>3042.25</v>
      </c>
      <c r="O11" s="38">
        <v>2701.27</v>
      </c>
      <c r="P11" s="39">
        <v>8.6942230257210937</v>
      </c>
      <c r="Q11" s="39">
        <v>22.414642001725117</v>
      </c>
      <c r="R11" s="40"/>
      <c r="S11" s="38">
        <v>551.52222222222224</v>
      </c>
      <c r="T11" s="39">
        <v>16.669731140681186</v>
      </c>
      <c r="U11" s="39">
        <v>-146.22435491043362</v>
      </c>
      <c r="V11" s="38">
        <v>587.57000000000005</v>
      </c>
      <c r="W11" s="38">
        <v>551.62</v>
      </c>
      <c r="X11" s="38">
        <v>383.71</v>
      </c>
      <c r="Y11" s="39">
        <v>6.5171676153874092</v>
      </c>
      <c r="Z11" s="39">
        <v>53.128664877120755</v>
      </c>
      <c r="AA11" s="41">
        <v>17.768806229681715</v>
      </c>
      <c r="AB11" s="42">
        <v>-36.316846010380743</v>
      </c>
      <c r="AC11" s="40"/>
      <c r="AD11" s="43">
        <v>166.08750000000001</v>
      </c>
      <c r="AE11" s="39">
        <v>0.33073577383111452</v>
      </c>
      <c r="AF11" s="39">
        <v>236.41381405711908</v>
      </c>
      <c r="AG11" s="43">
        <v>140.81</v>
      </c>
      <c r="AH11" s="43">
        <v>165.54</v>
      </c>
      <c r="AI11" s="43">
        <v>49.370000000000097</v>
      </c>
      <c r="AJ11" s="39">
        <v>-14.938987555877725</v>
      </c>
      <c r="AK11" s="39">
        <v>185.21369252582485</v>
      </c>
      <c r="AL11" s="44"/>
      <c r="AM11" s="43">
        <v>166.08750000000001</v>
      </c>
      <c r="AN11" s="39">
        <v>0.33073577383111452</v>
      </c>
      <c r="AO11" s="39">
        <v>238.60856269113154</v>
      </c>
      <c r="AP11" s="43">
        <v>140.71</v>
      </c>
      <c r="AQ11" s="43">
        <v>165.54</v>
      </c>
      <c r="AR11" s="43">
        <v>49.05</v>
      </c>
      <c r="AS11" s="39">
        <v>-14.999395916394819</v>
      </c>
      <c r="AT11" s="39">
        <v>186.87054026503569</v>
      </c>
      <c r="AU11" s="1">
        <v>10816.474093605</v>
      </c>
    </row>
    <row r="12" spans="1:48" ht="18" customHeight="1" x14ac:dyDescent="0.25">
      <c r="B12" s="2">
        <f>IF(G12=$B$6,MAX(B$7:B11)+1,IF($B$6="Nifty 500 - All Sector",B11+1,0))</f>
        <v>0</v>
      </c>
      <c r="C12" s="36">
        <v>22005</v>
      </c>
      <c r="D12" s="36" t="s">
        <v>31</v>
      </c>
      <c r="E12" s="36" t="s">
        <v>527</v>
      </c>
      <c r="F12" s="36" t="s">
        <v>538</v>
      </c>
      <c r="G12" s="36" t="s">
        <v>2</v>
      </c>
      <c r="H12" s="36" t="s">
        <v>535</v>
      </c>
      <c r="I12" s="37">
        <v>46126</v>
      </c>
      <c r="J12" s="38">
        <v>13088.4</v>
      </c>
      <c r="K12" s="39">
        <v>-19.175027526459676</v>
      </c>
      <c r="L12" s="39">
        <v>10.900223352731221</v>
      </c>
      <c r="M12" s="38">
        <v>19172.710000000003</v>
      </c>
      <c r="N12" s="38">
        <v>16193.51</v>
      </c>
      <c r="O12" s="38">
        <v>11801.960000000001</v>
      </c>
      <c r="P12" s="39">
        <v>18.39749381079212</v>
      </c>
      <c r="Q12" s="39">
        <v>62.453609400472466</v>
      </c>
      <c r="R12" s="40"/>
      <c r="S12" s="38" t="s">
        <v>539</v>
      </c>
      <c r="T12" s="39" t="s">
        <v>540</v>
      </c>
      <c r="U12" s="39" t="s">
        <v>540</v>
      </c>
      <c r="V12" s="38">
        <v>15240.4</v>
      </c>
      <c r="W12" s="38" t="s">
        <v>540</v>
      </c>
      <c r="X12" s="38" t="s">
        <v>540</v>
      </c>
      <c r="Y12" s="39" t="s">
        <v>540</v>
      </c>
      <c r="Z12" s="39" t="s">
        <v>540</v>
      </c>
      <c r="AA12" s="41">
        <v>79.490066871089155</v>
      </c>
      <c r="AB12" s="42" t="s">
        <v>540</v>
      </c>
      <c r="AC12" s="40"/>
      <c r="AD12" s="43">
        <v>393.5333</v>
      </c>
      <c r="AE12" s="39">
        <v>2.1421563538198019</v>
      </c>
      <c r="AF12" s="39">
        <v>1.6487924577045066</v>
      </c>
      <c r="AG12" s="43">
        <v>623.90999999999894</v>
      </c>
      <c r="AH12" s="43">
        <v>385.28000000000299</v>
      </c>
      <c r="AI12" s="43">
        <v>387.14999999999702</v>
      </c>
      <c r="AJ12" s="39">
        <v>61.936773255812419</v>
      </c>
      <c r="AK12" s="39">
        <v>61.154591243704949</v>
      </c>
      <c r="AL12" s="44"/>
      <c r="AM12" s="43">
        <v>393.5333</v>
      </c>
      <c r="AN12" s="39">
        <v>2.1421563538206012</v>
      </c>
      <c r="AO12" s="39">
        <v>1.6487924577037294</v>
      </c>
      <c r="AP12" s="43">
        <v>623.91</v>
      </c>
      <c r="AQ12" s="43">
        <v>385.28</v>
      </c>
      <c r="AR12" s="43">
        <v>387.15</v>
      </c>
      <c r="AS12" s="39">
        <v>61.936773255813947</v>
      </c>
      <c r="AT12" s="39">
        <v>61.15459124370399</v>
      </c>
      <c r="AU12" s="1">
        <v>81371.640578849998</v>
      </c>
    </row>
    <row r="13" spans="1:48" ht="18" customHeight="1" x14ac:dyDescent="0.25">
      <c r="B13" s="2">
        <f>IF(G13=$B$6,MAX(B$7:B12)+1,IF($B$6="Nifty 500 - All Sector",B12+1,0))</f>
        <v>0</v>
      </c>
      <c r="C13" s="36">
        <v>152</v>
      </c>
      <c r="D13" s="36" t="s">
        <v>32</v>
      </c>
      <c r="E13" s="36" t="s">
        <v>527</v>
      </c>
      <c r="F13" s="36" t="s">
        <v>541</v>
      </c>
      <c r="G13" s="36" t="s">
        <v>542</v>
      </c>
      <c r="H13" s="36" t="s">
        <v>529</v>
      </c>
      <c r="I13" s="37">
        <v>46127</v>
      </c>
      <c r="J13" s="38" t="s">
        <v>539</v>
      </c>
      <c r="K13" s="39" t="s">
        <v>540</v>
      </c>
      <c r="L13" s="39" t="s">
        <v>540</v>
      </c>
      <c r="M13" s="38">
        <v>745.61</v>
      </c>
      <c r="N13" s="38">
        <v>797.57</v>
      </c>
      <c r="O13" s="38">
        <v>551.74</v>
      </c>
      <c r="P13" s="39">
        <v>-6.5147886705869134</v>
      </c>
      <c r="Q13" s="39">
        <v>35.137927284590575</v>
      </c>
      <c r="R13" s="40"/>
      <c r="S13" s="38" t="s">
        <v>539</v>
      </c>
      <c r="T13" s="39" t="s">
        <v>540</v>
      </c>
      <c r="U13" s="39" t="s">
        <v>540</v>
      </c>
      <c r="V13" s="38">
        <v>158.02000000000001</v>
      </c>
      <c r="W13" s="38">
        <v>195.33</v>
      </c>
      <c r="X13" s="38">
        <v>109.18</v>
      </c>
      <c r="Y13" s="39">
        <v>-19.101008549633956</v>
      </c>
      <c r="Z13" s="39">
        <v>44.733467668071071</v>
      </c>
      <c r="AA13" s="41">
        <v>21.193385281849761</v>
      </c>
      <c r="AB13" s="42">
        <v>-329.72550381221561</v>
      </c>
      <c r="AC13" s="40"/>
      <c r="AD13" s="43" t="s">
        <v>540</v>
      </c>
      <c r="AE13" s="39" t="s">
        <v>539</v>
      </c>
      <c r="AF13" s="39" t="s">
        <v>539</v>
      </c>
      <c r="AG13" s="43">
        <v>5.99999999999996</v>
      </c>
      <c r="AH13" s="43">
        <v>144</v>
      </c>
      <c r="AI13" s="43">
        <v>71.989999999999995</v>
      </c>
      <c r="AJ13" s="39">
        <v>-95.833333333333357</v>
      </c>
      <c r="AK13" s="39">
        <v>-91.665509098485956</v>
      </c>
      <c r="AL13" s="44"/>
      <c r="AM13" s="43" t="s">
        <v>539</v>
      </c>
      <c r="AN13" s="39" t="s">
        <v>539</v>
      </c>
      <c r="AO13" s="39" t="s">
        <v>539</v>
      </c>
      <c r="AP13" s="43">
        <v>6</v>
      </c>
      <c r="AQ13" s="43">
        <v>146.47999999999999</v>
      </c>
      <c r="AR13" s="43">
        <v>71.989999999999995</v>
      </c>
      <c r="AS13" s="39">
        <v>-95.903877662479516</v>
      </c>
      <c r="AT13" s="39">
        <v>-91.665509098485899</v>
      </c>
      <c r="AU13" s="1">
        <v>9273.3271072499992</v>
      </c>
    </row>
    <row r="14" spans="1:48" ht="18" customHeight="1" x14ac:dyDescent="0.25">
      <c r="B14" s="2">
        <f>IF(G14=$B$6,MAX(B$7:B13)+1,IF($B$6="Nifty 500 - All Sector",B13+1,0))</f>
        <v>0</v>
      </c>
      <c r="C14" s="36">
        <v>22664</v>
      </c>
      <c r="D14" s="36" t="s">
        <v>33</v>
      </c>
      <c r="E14" s="36" t="s">
        <v>533</v>
      </c>
      <c r="F14" s="36" t="s">
        <v>543</v>
      </c>
      <c r="G14" s="36" t="s">
        <v>2</v>
      </c>
      <c r="H14" s="36" t="s">
        <v>535</v>
      </c>
      <c r="I14" s="37">
        <v>46127</v>
      </c>
      <c r="J14" s="38">
        <v>6290.3714285714286</v>
      </c>
      <c r="K14" s="39">
        <v>20.376521430567117</v>
      </c>
      <c r="L14" s="39">
        <v>10.642735274680826</v>
      </c>
      <c r="M14" s="38">
        <v>5790.53</v>
      </c>
      <c r="N14" s="38">
        <v>5225.58</v>
      </c>
      <c r="O14" s="38">
        <v>5685.3</v>
      </c>
      <c r="P14" s="39">
        <v>10.811240092008912</v>
      </c>
      <c r="Q14" s="39">
        <v>1.8509137600478454</v>
      </c>
      <c r="R14" s="40"/>
      <c r="S14" s="38">
        <v>-258.39999999999998</v>
      </c>
      <c r="T14" s="39">
        <v>-4.1078655359892444</v>
      </c>
      <c r="U14" s="39" t="s">
        <v>540</v>
      </c>
      <c r="V14" s="38">
        <v>-347.94</v>
      </c>
      <c r="W14" s="38" t="s">
        <v>540</v>
      </c>
      <c r="X14" s="38" t="s">
        <v>540</v>
      </c>
      <c r="Y14" s="39" t="s">
        <v>540</v>
      </c>
      <c r="Z14" s="39" t="s">
        <v>540</v>
      </c>
      <c r="AA14" s="41">
        <v>-6.0087763987061633</v>
      </c>
      <c r="AB14" s="42" t="s">
        <v>540</v>
      </c>
      <c r="AC14" s="40"/>
      <c r="AD14" s="43">
        <v>609.9375</v>
      </c>
      <c r="AE14" s="39">
        <v>19.691811063796628</v>
      </c>
      <c r="AF14" s="39">
        <v>-7.4112726941526486</v>
      </c>
      <c r="AG14" s="43">
        <v>546.55999999999904</v>
      </c>
      <c r="AH14" s="43">
        <v>509.58999999999901</v>
      </c>
      <c r="AI14" s="43">
        <v>658.76</v>
      </c>
      <c r="AJ14" s="39">
        <v>7.2548519397947597</v>
      </c>
      <c r="AK14" s="39">
        <v>-17.031999514239015</v>
      </c>
      <c r="AL14" s="44"/>
      <c r="AM14" s="43">
        <v>609.9375</v>
      </c>
      <c r="AN14" s="39">
        <v>19.691811063796628</v>
      </c>
      <c r="AO14" s="39">
        <v>-7.4112726941526486</v>
      </c>
      <c r="AP14" s="43">
        <v>546.55999999999904</v>
      </c>
      <c r="AQ14" s="43">
        <v>509.58999999999901</v>
      </c>
      <c r="AR14" s="43">
        <v>658.76</v>
      </c>
      <c r="AS14" s="39">
        <v>7.2548519397947597</v>
      </c>
      <c r="AT14" s="39">
        <v>-17.031999514239015</v>
      </c>
      <c r="AU14" s="1">
        <v>92694.326056274993</v>
      </c>
    </row>
    <row r="15" spans="1:48" ht="18" customHeight="1" x14ac:dyDescent="0.25">
      <c r="B15" s="2">
        <f>IF(G15=$B$6,MAX(B$7:B14)+1,IF($B$6="Nifty 500 - All Sector",B14+1,0))</f>
        <v>0</v>
      </c>
      <c r="C15" s="36">
        <v>33990</v>
      </c>
      <c r="D15" s="36" t="s">
        <v>34</v>
      </c>
      <c r="E15" s="36" t="s">
        <v>527</v>
      </c>
      <c r="F15" s="36" t="s">
        <v>544</v>
      </c>
      <c r="G15" s="36" t="s">
        <v>2</v>
      </c>
      <c r="H15" s="36" t="s">
        <v>535</v>
      </c>
      <c r="I15" s="37">
        <v>46127</v>
      </c>
      <c r="J15" s="38">
        <v>3032.6</v>
      </c>
      <c r="K15" s="39">
        <v>15.94280471020031</v>
      </c>
      <c r="L15" s="39">
        <v>2.1249368580569028</v>
      </c>
      <c r="M15" s="38">
        <v>3062.8999999999996</v>
      </c>
      <c r="N15" s="38">
        <v>2615.6000000000004</v>
      </c>
      <c r="O15" s="38">
        <v>2969.5</v>
      </c>
      <c r="P15" s="39">
        <v>17.101238721517031</v>
      </c>
      <c r="Q15" s="39">
        <v>3.1453106583599899</v>
      </c>
      <c r="R15" s="40"/>
      <c r="S15" s="38">
        <v>1709.6</v>
      </c>
      <c r="T15" s="39">
        <v>56.374068456110273</v>
      </c>
      <c r="U15" s="39">
        <v>5637.4068456110272</v>
      </c>
      <c r="V15" s="38" t="s">
        <v>539</v>
      </c>
      <c r="W15" s="38">
        <v>0</v>
      </c>
      <c r="X15" s="38">
        <v>0</v>
      </c>
      <c r="Y15" s="39" t="s">
        <v>540</v>
      </c>
      <c r="Z15" s="39" t="s">
        <v>540</v>
      </c>
      <c r="AA15" s="41" t="s">
        <v>540</v>
      </c>
      <c r="AB15" s="42" t="s">
        <v>540</v>
      </c>
      <c r="AC15" s="40"/>
      <c r="AD15" s="43">
        <v>730</v>
      </c>
      <c r="AE15" s="39">
        <v>37.502354492371445</v>
      </c>
      <c r="AF15" s="39">
        <v>13.371641559248326</v>
      </c>
      <c r="AG15" s="43">
        <v>750.6</v>
      </c>
      <c r="AH15" s="43">
        <v>530.9</v>
      </c>
      <c r="AI15" s="43">
        <v>643.9</v>
      </c>
      <c r="AJ15" s="39">
        <v>41.382557920512355</v>
      </c>
      <c r="AK15" s="39">
        <v>16.570896101879185</v>
      </c>
      <c r="AL15" s="44"/>
      <c r="AM15" s="43">
        <v>730</v>
      </c>
      <c r="AN15" s="39">
        <v>37.502354492371445</v>
      </c>
      <c r="AO15" s="39">
        <v>13.371641559248326</v>
      </c>
      <c r="AP15" s="43">
        <v>750.6</v>
      </c>
      <c r="AQ15" s="43">
        <v>530.9</v>
      </c>
      <c r="AR15" s="43">
        <v>643.9</v>
      </c>
      <c r="AS15" s="39">
        <v>41.382557920512355</v>
      </c>
      <c r="AT15" s="39">
        <v>16.570896101879185</v>
      </c>
      <c r="AU15" s="1">
        <v>53489.679254720002</v>
      </c>
    </row>
    <row r="16" spans="1:48" ht="18" customHeight="1" x14ac:dyDescent="0.25">
      <c r="B16" s="2">
        <f>IF(G16=$B$6,MAX(B$7:B15)+1,IF($B$6="Nifty 500 - All Sector",B15+1,0))</f>
        <v>0</v>
      </c>
      <c r="C16" s="36">
        <v>35619</v>
      </c>
      <c r="D16" s="36" t="s">
        <v>35</v>
      </c>
      <c r="E16" s="36" t="s">
        <v>527</v>
      </c>
      <c r="F16" s="36" t="s">
        <v>545</v>
      </c>
      <c r="G16" s="36" t="s">
        <v>546</v>
      </c>
      <c r="H16" s="36" t="s">
        <v>529</v>
      </c>
      <c r="I16" s="37">
        <v>46127</v>
      </c>
      <c r="J16" s="38" t="s">
        <v>539</v>
      </c>
      <c r="K16" s="39" t="s">
        <v>540</v>
      </c>
      <c r="L16" s="39" t="s">
        <v>540</v>
      </c>
      <c r="M16" s="38">
        <v>332.69</v>
      </c>
      <c r="N16" s="38">
        <v>1906.94</v>
      </c>
      <c r="O16" s="38">
        <v>306.79000000000002</v>
      </c>
      <c r="P16" s="39">
        <v>-82.553724815673277</v>
      </c>
      <c r="Q16" s="39">
        <v>8.4422569184132499</v>
      </c>
      <c r="R16" s="40"/>
      <c r="S16" s="38" t="s">
        <v>539</v>
      </c>
      <c r="T16" s="39" t="s">
        <v>540</v>
      </c>
      <c r="U16" s="39" t="s">
        <v>540</v>
      </c>
      <c r="V16" s="38">
        <v>-118.2</v>
      </c>
      <c r="W16" s="38">
        <v>121.53</v>
      </c>
      <c r="X16" s="38">
        <v>-134.26</v>
      </c>
      <c r="Y16" s="39">
        <v>-197.25993581831648</v>
      </c>
      <c r="Z16" s="39">
        <v>-11.961865037985985</v>
      </c>
      <c r="AA16" s="41">
        <v>-35.528570140370917</v>
      </c>
      <c r="AB16" s="42">
        <v>-4190.1607572067778</v>
      </c>
      <c r="AC16" s="40"/>
      <c r="AD16" s="43" t="s">
        <v>540</v>
      </c>
      <c r="AE16" s="39" t="s">
        <v>547</v>
      </c>
      <c r="AF16" s="39" t="s">
        <v>547</v>
      </c>
      <c r="AG16" s="43">
        <v>-211.34</v>
      </c>
      <c r="AH16" s="43">
        <v>-71.800000000000296</v>
      </c>
      <c r="AI16" s="43">
        <v>-196.55</v>
      </c>
      <c r="AJ16" s="39" t="s">
        <v>548</v>
      </c>
      <c r="AK16" s="39" t="s">
        <v>548</v>
      </c>
      <c r="AL16" s="44"/>
      <c r="AM16" s="43" t="s">
        <v>539</v>
      </c>
      <c r="AN16" s="39" t="s">
        <v>547</v>
      </c>
      <c r="AO16" s="39" t="s">
        <v>547</v>
      </c>
      <c r="AP16" s="43">
        <v>-211.34</v>
      </c>
      <c r="AQ16" s="43">
        <v>-71.8</v>
      </c>
      <c r="AR16" s="43">
        <v>-196.55</v>
      </c>
      <c r="AS16" s="39" t="s">
        <v>548</v>
      </c>
      <c r="AT16" s="39" t="s">
        <v>548</v>
      </c>
      <c r="AU16" s="1">
        <v>7996.6063713800004</v>
      </c>
    </row>
    <row r="17" spans="2:47" ht="18" customHeight="1" x14ac:dyDescent="0.25">
      <c r="B17" s="2">
        <f>IF(G17=$B$6,MAX(B$7:B16)+1,IF($B$6="Nifty 500 - All Sector",B16+1,0))</f>
        <v>0</v>
      </c>
      <c r="C17" s="36">
        <v>21997</v>
      </c>
      <c r="D17" s="36" t="s">
        <v>36</v>
      </c>
      <c r="E17" s="36" t="s">
        <v>533</v>
      </c>
      <c r="F17" s="36" t="s">
        <v>549</v>
      </c>
      <c r="G17" s="36" t="s">
        <v>2</v>
      </c>
      <c r="H17" s="36" t="s">
        <v>532</v>
      </c>
      <c r="I17" s="37">
        <v>46128</v>
      </c>
      <c r="J17" s="38">
        <v>23131.7</v>
      </c>
      <c r="K17" s="39">
        <v>-2.6671368147857644</v>
      </c>
      <c r="L17" s="39">
        <v>26.801915757748862</v>
      </c>
      <c r="M17" s="38" t="s">
        <v>539</v>
      </c>
      <c r="N17" s="38">
        <v>23765.56</v>
      </c>
      <c r="O17" s="38">
        <v>18242.39</v>
      </c>
      <c r="P17" s="39" t="s">
        <v>540</v>
      </c>
      <c r="Q17" s="39" t="s">
        <v>540</v>
      </c>
      <c r="R17" s="40"/>
      <c r="S17" s="38" t="s">
        <v>539</v>
      </c>
      <c r="T17" s="39" t="s">
        <v>540</v>
      </c>
      <c r="U17" s="39" t="s">
        <v>540</v>
      </c>
      <c r="V17" s="38" t="s">
        <v>539</v>
      </c>
      <c r="W17" s="38" t="s">
        <v>540</v>
      </c>
      <c r="X17" s="38" t="s">
        <v>540</v>
      </c>
      <c r="Y17" s="39" t="s">
        <v>540</v>
      </c>
      <c r="Z17" s="39" t="s">
        <v>540</v>
      </c>
      <c r="AA17" s="41" t="s">
        <v>540</v>
      </c>
      <c r="AB17" s="42" t="s">
        <v>540</v>
      </c>
      <c r="AC17" s="40"/>
      <c r="AD17" s="43">
        <v>485.78000000000003</v>
      </c>
      <c r="AE17" s="39">
        <v>1.938976791035385</v>
      </c>
      <c r="AF17" s="39">
        <v>15.461222161480425</v>
      </c>
      <c r="AG17" s="43" t="s">
        <v>539</v>
      </c>
      <c r="AH17" s="43">
        <v>476.54</v>
      </c>
      <c r="AI17" s="43">
        <v>420.73000000000297</v>
      </c>
      <c r="AJ17" s="39" t="s">
        <v>539</v>
      </c>
      <c r="AK17" s="39" t="s">
        <v>539</v>
      </c>
      <c r="AL17" s="44"/>
      <c r="AM17" s="43">
        <v>485.78000000000003</v>
      </c>
      <c r="AN17" s="39">
        <v>1.938976791035385</v>
      </c>
      <c r="AO17" s="39">
        <v>15.461222161480425</v>
      </c>
      <c r="AP17" s="43" t="s">
        <v>539</v>
      </c>
      <c r="AQ17" s="43">
        <v>476.54</v>
      </c>
      <c r="AR17" s="43">
        <v>420.73000000000297</v>
      </c>
      <c r="AS17" s="39" t="s">
        <v>539</v>
      </c>
      <c r="AT17" s="39" t="s">
        <v>539</v>
      </c>
      <c r="AU17" s="1">
        <v>138219.13037848001</v>
      </c>
    </row>
    <row r="18" spans="2:47" ht="18" customHeight="1" x14ac:dyDescent="0.25">
      <c r="B18" s="2">
        <f>IF(G18=$B$6,MAX(B$7:B17)+1,IF($B$6="Nifty 500 - All Sector",B17+1,0))</f>
        <v>0</v>
      </c>
      <c r="C18" s="36">
        <v>21272</v>
      </c>
      <c r="D18" s="36" t="s">
        <v>37</v>
      </c>
      <c r="E18" s="36" t="s">
        <v>527</v>
      </c>
      <c r="F18" s="36" t="s">
        <v>550</v>
      </c>
      <c r="G18" s="36" t="s">
        <v>2</v>
      </c>
      <c r="H18" s="36" t="s">
        <v>532</v>
      </c>
      <c r="I18" s="37">
        <v>46128</v>
      </c>
      <c r="J18" s="38">
        <v>1024.75</v>
      </c>
      <c r="K18" s="39">
        <v>13.689313925623491</v>
      </c>
      <c r="L18" s="39">
        <v>-4.6832852757882959</v>
      </c>
      <c r="M18" s="38" t="s">
        <v>539</v>
      </c>
      <c r="N18" s="38">
        <v>901.36</v>
      </c>
      <c r="O18" s="38">
        <v>1075.0999999999999</v>
      </c>
      <c r="P18" s="39" t="s">
        <v>540</v>
      </c>
      <c r="Q18" s="39" t="s">
        <v>540</v>
      </c>
      <c r="R18" s="40"/>
      <c r="S18" s="38">
        <v>841.33999999999992</v>
      </c>
      <c r="T18" s="39">
        <v>82.101976091729682</v>
      </c>
      <c r="U18" s="39">
        <v>109.21686895818112</v>
      </c>
      <c r="V18" s="38" t="s">
        <v>539</v>
      </c>
      <c r="W18" s="38">
        <v>730.19</v>
      </c>
      <c r="X18" s="38">
        <v>876.4</v>
      </c>
      <c r="Y18" s="39" t="s">
        <v>540</v>
      </c>
      <c r="Z18" s="39" t="s">
        <v>540</v>
      </c>
      <c r="AA18" s="41" t="s">
        <v>540</v>
      </c>
      <c r="AB18" s="42" t="s">
        <v>540</v>
      </c>
      <c r="AC18" s="40"/>
      <c r="AD18" s="43">
        <v>674.43330000000003</v>
      </c>
      <c r="AE18" s="39">
        <v>5.6343858659900325</v>
      </c>
      <c r="AF18" s="39">
        <v>-12.345234072418176</v>
      </c>
      <c r="AG18" s="43" t="s">
        <v>539</v>
      </c>
      <c r="AH18" s="43">
        <v>638.46</v>
      </c>
      <c r="AI18" s="43">
        <v>769.42</v>
      </c>
      <c r="AJ18" s="39" t="s">
        <v>539</v>
      </c>
      <c r="AK18" s="39" t="s">
        <v>539</v>
      </c>
      <c r="AL18" s="44"/>
      <c r="AM18" s="43">
        <v>674.43330000000003</v>
      </c>
      <c r="AN18" s="39">
        <v>5.6343858659900325</v>
      </c>
      <c r="AO18" s="39">
        <v>-12.345234072418176</v>
      </c>
      <c r="AP18" s="43" t="s">
        <v>539</v>
      </c>
      <c r="AQ18" s="43">
        <v>638.46</v>
      </c>
      <c r="AR18" s="43">
        <v>769.42</v>
      </c>
      <c r="AS18" s="39" t="s">
        <v>539</v>
      </c>
      <c r="AT18" s="39" t="s">
        <v>539</v>
      </c>
      <c r="AU18" s="1">
        <v>114134.37622202</v>
      </c>
    </row>
    <row r="19" spans="2:47" ht="18" customHeight="1" x14ac:dyDescent="0.25">
      <c r="B19" s="2">
        <f>IF(G19=$B$6,MAX(B$7:B18)+1,IF($B$6="Nifty 500 - All Sector",B18+1,0))</f>
        <v>0</v>
      </c>
      <c r="C19" s="36">
        <v>3265</v>
      </c>
      <c r="D19" s="36" t="s">
        <v>38</v>
      </c>
      <c r="E19" s="36" t="s">
        <v>527</v>
      </c>
      <c r="F19" s="36" t="s">
        <v>551</v>
      </c>
      <c r="G19" s="36" t="s">
        <v>2</v>
      </c>
      <c r="H19" s="36" t="s">
        <v>535</v>
      </c>
      <c r="I19" s="37">
        <v>46128</v>
      </c>
      <c r="J19" s="38">
        <v>956.1</v>
      </c>
      <c r="K19" s="39">
        <v>17.575444551021935</v>
      </c>
      <c r="L19" s="39">
        <v>-11.600728570503982</v>
      </c>
      <c r="M19" s="38" t="s">
        <v>539</v>
      </c>
      <c r="N19" s="38">
        <v>813.18</v>
      </c>
      <c r="O19" s="38">
        <v>1081.57</v>
      </c>
      <c r="P19" s="39" t="s">
        <v>540</v>
      </c>
      <c r="Q19" s="39" t="s">
        <v>540</v>
      </c>
      <c r="R19" s="40"/>
      <c r="S19" s="38">
        <v>296.5</v>
      </c>
      <c r="T19" s="39">
        <v>31.011400481121221</v>
      </c>
      <c r="U19" s="39">
        <v>248.14317165180563</v>
      </c>
      <c r="V19" s="38" t="s">
        <v>539</v>
      </c>
      <c r="W19" s="38">
        <v>232</v>
      </c>
      <c r="X19" s="38">
        <v>339.57</v>
      </c>
      <c r="Y19" s="39" t="s">
        <v>540</v>
      </c>
      <c r="Z19" s="39" t="s">
        <v>540</v>
      </c>
      <c r="AA19" s="41" t="s">
        <v>540</v>
      </c>
      <c r="AB19" s="42" t="s">
        <v>540</v>
      </c>
      <c r="AC19" s="40"/>
      <c r="AD19" s="43">
        <v>199.7</v>
      </c>
      <c r="AE19" s="39">
        <v>24.937437437437438</v>
      </c>
      <c r="AF19" s="39">
        <v>-17.308488612836449</v>
      </c>
      <c r="AG19" s="43" t="s">
        <v>539</v>
      </c>
      <c r="AH19" s="43">
        <v>159.84</v>
      </c>
      <c r="AI19" s="43">
        <v>241.5</v>
      </c>
      <c r="AJ19" s="39" t="s">
        <v>539</v>
      </c>
      <c r="AK19" s="39" t="s">
        <v>539</v>
      </c>
      <c r="AL19" s="44"/>
      <c r="AM19" s="43">
        <v>199.7</v>
      </c>
      <c r="AN19" s="39">
        <v>24.937437437437438</v>
      </c>
      <c r="AO19" s="39">
        <v>-17.308488612836449</v>
      </c>
      <c r="AP19" s="43" t="s">
        <v>539</v>
      </c>
      <c r="AQ19" s="43">
        <v>159.84</v>
      </c>
      <c r="AR19" s="43">
        <v>241.5</v>
      </c>
      <c r="AS19" s="39" t="s">
        <v>539</v>
      </c>
      <c r="AT19" s="39" t="s">
        <v>539</v>
      </c>
      <c r="AU19" s="1">
        <v>30147.118208079999</v>
      </c>
    </row>
    <row r="20" spans="2:47" ht="18" customHeight="1" x14ac:dyDescent="0.25">
      <c r="B20" s="2">
        <f>IF(G20=$B$6,MAX(B$7:B19)+1,IF($B$6="Nifty 500 - All Sector",B19+1,0))</f>
        <v>0</v>
      </c>
      <c r="C20" s="36">
        <v>38941</v>
      </c>
      <c r="D20" s="36" t="s">
        <v>39</v>
      </c>
      <c r="E20" s="36" t="s">
        <v>527</v>
      </c>
      <c r="F20" s="36" t="s">
        <v>552</v>
      </c>
      <c r="G20" s="36" t="s">
        <v>2</v>
      </c>
      <c r="H20" s="36" t="s">
        <v>529</v>
      </c>
      <c r="I20" s="37">
        <v>46128</v>
      </c>
      <c r="J20" s="38">
        <v>1470.4749999999999</v>
      </c>
      <c r="K20" s="39">
        <v>50.707429935995663</v>
      </c>
      <c r="L20" s="39">
        <v>21.748219903957612</v>
      </c>
      <c r="M20" s="38" t="s">
        <v>539</v>
      </c>
      <c r="N20" s="38">
        <v>975.71499999999992</v>
      </c>
      <c r="O20" s="38">
        <v>1207.8</v>
      </c>
      <c r="P20" s="39" t="s">
        <v>540</v>
      </c>
      <c r="Q20" s="39" t="s">
        <v>540</v>
      </c>
      <c r="R20" s="40"/>
      <c r="S20" s="38" t="s">
        <v>539</v>
      </c>
      <c r="T20" s="39" t="s">
        <v>540</v>
      </c>
      <c r="U20" s="39" t="s">
        <v>540</v>
      </c>
      <c r="V20" s="38" t="s">
        <v>539</v>
      </c>
      <c r="W20" s="38">
        <v>0</v>
      </c>
      <c r="X20" s="38">
        <v>0</v>
      </c>
      <c r="Y20" s="39" t="s">
        <v>540</v>
      </c>
      <c r="Z20" s="39" t="s">
        <v>540</v>
      </c>
      <c r="AA20" s="41" t="s">
        <v>540</v>
      </c>
      <c r="AB20" s="42" t="s">
        <v>540</v>
      </c>
      <c r="AC20" s="40"/>
      <c r="AD20" s="43">
        <v>307.02000000000004</v>
      </c>
      <c r="AE20" s="39">
        <v>75.921522338285968</v>
      </c>
      <c r="AF20" s="39">
        <v>14.231074037005499</v>
      </c>
      <c r="AG20" s="43" t="s">
        <v>540</v>
      </c>
      <c r="AH20" s="43">
        <v>174.52099999999999</v>
      </c>
      <c r="AI20" s="43">
        <v>268.77100000000002</v>
      </c>
      <c r="AJ20" s="39" t="s">
        <v>539</v>
      </c>
      <c r="AK20" s="39" t="s">
        <v>539</v>
      </c>
      <c r="AL20" s="44"/>
      <c r="AM20" s="43">
        <v>307.02000000000004</v>
      </c>
      <c r="AN20" s="39">
        <v>75.921522338285968</v>
      </c>
      <c r="AO20" s="39">
        <v>14.276568501920629</v>
      </c>
      <c r="AP20" s="43" t="s">
        <v>539</v>
      </c>
      <c r="AQ20" s="43">
        <v>174.52099999999999</v>
      </c>
      <c r="AR20" s="43">
        <v>268.66399999999999</v>
      </c>
      <c r="AS20" s="39" t="s">
        <v>539</v>
      </c>
      <c r="AT20" s="39" t="s">
        <v>539</v>
      </c>
      <c r="AU20" s="1">
        <v>27111.724980949999</v>
      </c>
    </row>
    <row r="21" spans="2:47" ht="18" customHeight="1" x14ac:dyDescent="0.25">
      <c r="B21" s="2">
        <f>IF(G21=$B$6,MAX(B$7:B20)+1,IF($B$6="Nifty 500 - All Sector",B20+1,0))</f>
        <v>2</v>
      </c>
      <c r="C21" s="36">
        <v>614</v>
      </c>
      <c r="D21" s="36" t="s">
        <v>40</v>
      </c>
      <c r="E21" s="36" t="s">
        <v>527</v>
      </c>
      <c r="F21" s="36" t="s">
        <v>553</v>
      </c>
      <c r="G21" s="36" t="s">
        <v>531</v>
      </c>
      <c r="H21" s="36" t="s">
        <v>532</v>
      </c>
      <c r="I21" s="37">
        <v>46128</v>
      </c>
      <c r="J21" s="38">
        <v>24261.837500000001</v>
      </c>
      <c r="K21" s="39">
        <v>7.8102643062184063</v>
      </c>
      <c r="L21" s="39">
        <v>2.99729790539911</v>
      </c>
      <c r="M21" s="38" t="s">
        <v>539</v>
      </c>
      <c r="N21" s="38">
        <v>22504.2</v>
      </c>
      <c r="O21" s="38">
        <v>23555.8</v>
      </c>
      <c r="P21" s="39" t="s">
        <v>540</v>
      </c>
      <c r="Q21" s="39" t="s">
        <v>540</v>
      </c>
      <c r="R21" s="40"/>
      <c r="S21" s="38">
        <v>4833.9650000000001</v>
      </c>
      <c r="T21" s="39">
        <v>19.924150427600548</v>
      </c>
      <c r="U21" s="39">
        <v>-62.31251920615577</v>
      </c>
      <c r="V21" s="38" t="s">
        <v>539</v>
      </c>
      <c r="W21" s="38">
        <v>4624</v>
      </c>
      <c r="X21" s="38">
        <v>4296.3999999999996</v>
      </c>
      <c r="Y21" s="39" t="s">
        <v>540</v>
      </c>
      <c r="Z21" s="39" t="s">
        <v>540</v>
      </c>
      <c r="AA21" s="41" t="s">
        <v>540</v>
      </c>
      <c r="AB21" s="42" t="s">
        <v>540</v>
      </c>
      <c r="AC21" s="40"/>
      <c r="AD21" s="43">
        <v>3466.8582999999999</v>
      </c>
      <c r="AE21" s="39">
        <v>-2.588977240797985</v>
      </c>
      <c r="AF21" s="39">
        <v>10.3321971866845</v>
      </c>
      <c r="AG21" s="43" t="s">
        <v>539</v>
      </c>
      <c r="AH21" s="43">
        <v>3559</v>
      </c>
      <c r="AI21" s="43">
        <v>3142.2</v>
      </c>
      <c r="AJ21" s="39" t="s">
        <v>539</v>
      </c>
      <c r="AK21" s="39" t="s">
        <v>539</v>
      </c>
      <c r="AL21" s="44"/>
      <c r="AM21" s="43">
        <v>3466.8582999999999</v>
      </c>
      <c r="AN21" s="39">
        <v>-2.878241259524883</v>
      </c>
      <c r="AO21" s="39">
        <v>11.152879127925619</v>
      </c>
      <c r="AP21" s="43" t="s">
        <v>539</v>
      </c>
      <c r="AQ21" s="43">
        <v>3569.6</v>
      </c>
      <c r="AR21" s="43">
        <v>3119</v>
      </c>
      <c r="AS21" s="39" t="s">
        <v>539</v>
      </c>
      <c r="AT21" s="39" t="s">
        <v>539</v>
      </c>
      <c r="AU21" s="1">
        <v>220049.04436432</v>
      </c>
    </row>
    <row r="22" spans="2:47" ht="18" customHeight="1" x14ac:dyDescent="0.25">
      <c r="B22" s="2">
        <f>IF(G22=$B$6,MAX(B$7:B21)+1,IF($B$6="Nifty 500 - All Sector",B21+1,0))</f>
        <v>0</v>
      </c>
      <c r="C22" s="36">
        <v>20712</v>
      </c>
      <c r="D22" s="36" t="s">
        <v>41</v>
      </c>
      <c r="E22" s="36" t="s">
        <v>527</v>
      </c>
      <c r="F22" s="36" t="s">
        <v>554</v>
      </c>
      <c r="G22" s="36" t="s">
        <v>2</v>
      </c>
      <c r="H22" s="36" t="s">
        <v>532</v>
      </c>
      <c r="I22" s="37">
        <v>46129</v>
      </c>
      <c r="J22" s="38">
        <v>816.7</v>
      </c>
      <c r="K22" s="39">
        <v>65.578622982726472</v>
      </c>
      <c r="L22" s="39">
        <v>-9.3462093462093438</v>
      </c>
      <c r="M22" s="38" t="s">
        <v>539</v>
      </c>
      <c r="N22" s="38">
        <v>493.24</v>
      </c>
      <c r="O22" s="38">
        <v>900.9</v>
      </c>
      <c r="P22" s="39" t="s">
        <v>540</v>
      </c>
      <c r="Q22" s="39" t="s">
        <v>540</v>
      </c>
      <c r="R22" s="40"/>
      <c r="S22" s="38">
        <v>485.4</v>
      </c>
      <c r="T22" s="39">
        <v>59.434308803722288</v>
      </c>
      <c r="U22" s="39">
        <v>-909.01417680074985</v>
      </c>
      <c r="V22" s="38" t="s">
        <v>539</v>
      </c>
      <c r="W22" s="38">
        <v>337.99</v>
      </c>
      <c r="X22" s="38">
        <v>554.91</v>
      </c>
      <c r="Y22" s="39" t="s">
        <v>540</v>
      </c>
      <c r="Z22" s="39" t="s">
        <v>540</v>
      </c>
      <c r="AA22" s="41" t="s">
        <v>540</v>
      </c>
      <c r="AB22" s="42" t="s">
        <v>540</v>
      </c>
      <c r="AC22" s="40"/>
      <c r="AD22" s="43">
        <v>412.3</v>
      </c>
      <c r="AE22" s="39">
        <v>52.703703703703695</v>
      </c>
      <c r="AF22" s="39">
        <v>76.937601922581749</v>
      </c>
      <c r="AG22" s="43" t="s">
        <v>539</v>
      </c>
      <c r="AH22" s="43">
        <v>270</v>
      </c>
      <c r="AI22" s="43">
        <v>233.02</v>
      </c>
      <c r="AJ22" s="39" t="s">
        <v>539</v>
      </c>
      <c r="AK22" s="39" t="s">
        <v>539</v>
      </c>
      <c r="AL22" s="44"/>
      <c r="AM22" s="43">
        <v>412.3</v>
      </c>
      <c r="AN22" s="39">
        <v>30.429280946505965</v>
      </c>
      <c r="AO22" s="39">
        <v>53.282771953305065</v>
      </c>
      <c r="AP22" s="43" t="s">
        <v>539</v>
      </c>
      <c r="AQ22" s="43">
        <v>316.11</v>
      </c>
      <c r="AR22" s="43">
        <v>268.98</v>
      </c>
      <c r="AS22" s="39" t="s">
        <v>539</v>
      </c>
      <c r="AT22" s="39" t="s">
        <v>539</v>
      </c>
      <c r="AU22" s="1">
        <v>154158.981482095</v>
      </c>
    </row>
    <row r="23" spans="2:47" ht="18" customHeight="1" x14ac:dyDescent="0.25">
      <c r="B23" s="2">
        <f>IF(G23=$B$6,MAX(B$7:B22)+1,IF($B$6="Nifty 500 - All Sector",B22+1,0))</f>
        <v>0</v>
      </c>
      <c r="C23" s="45">
        <v>4987</v>
      </c>
      <c r="D23" s="45" t="s">
        <v>42</v>
      </c>
      <c r="E23" s="45" t="s">
        <v>533</v>
      </c>
      <c r="F23" s="45" t="s">
        <v>555</v>
      </c>
      <c r="G23" s="45" t="s">
        <v>4</v>
      </c>
      <c r="H23" s="45" t="s">
        <v>532</v>
      </c>
      <c r="I23" s="37">
        <v>46130</v>
      </c>
      <c r="J23" s="46">
        <v>33665.767368775902</v>
      </c>
      <c r="K23" s="39">
        <v>4.989638084114234</v>
      </c>
      <c r="L23" s="39">
        <v>3.2217303963694599</v>
      </c>
      <c r="M23" s="46" t="s">
        <v>539</v>
      </c>
      <c r="N23" s="46">
        <v>32065.800000000003</v>
      </c>
      <c r="O23" s="46">
        <v>32615</v>
      </c>
      <c r="P23" s="47" t="s">
        <v>540</v>
      </c>
      <c r="Q23" s="47" t="s">
        <v>540</v>
      </c>
      <c r="R23" s="40"/>
      <c r="S23" s="38">
        <v>28498.192307692312</v>
      </c>
      <c r="T23" s="39"/>
      <c r="U23" s="39"/>
      <c r="V23" s="46" t="s">
        <v>539</v>
      </c>
      <c r="W23" s="46">
        <v>26536.7</v>
      </c>
      <c r="X23" s="46">
        <v>27097.8</v>
      </c>
      <c r="Y23" s="47" t="s">
        <v>540</v>
      </c>
      <c r="Z23" s="47" t="s">
        <v>540</v>
      </c>
      <c r="AA23" s="41" t="s">
        <v>540</v>
      </c>
      <c r="AB23" s="48" t="s">
        <v>540</v>
      </c>
      <c r="AC23" s="40"/>
      <c r="AD23" s="49">
        <v>18956.2333</v>
      </c>
      <c r="AE23" s="50">
        <v>7.6071903379514527</v>
      </c>
      <c r="AF23" s="50">
        <v>1.6215683173624651</v>
      </c>
      <c r="AG23" s="43" t="s">
        <v>540</v>
      </c>
      <c r="AH23" s="43">
        <v>17616.14</v>
      </c>
      <c r="AI23" s="43">
        <v>18653.75</v>
      </c>
      <c r="AJ23" s="41" t="s">
        <v>539</v>
      </c>
      <c r="AK23" s="41" t="s">
        <v>539</v>
      </c>
      <c r="AL23" s="44"/>
      <c r="AM23" s="49">
        <v>18956.2333</v>
      </c>
      <c r="AN23" s="50">
        <v>7.6071903379514527</v>
      </c>
      <c r="AO23" s="50">
        <v>1.6215683173624651</v>
      </c>
      <c r="AP23" s="43" t="s">
        <v>539</v>
      </c>
      <c r="AQ23" s="43">
        <v>17616.14</v>
      </c>
      <c r="AR23" s="43">
        <v>18653.75</v>
      </c>
      <c r="AS23" s="41" t="s">
        <v>539</v>
      </c>
      <c r="AT23" s="41" t="s">
        <v>539</v>
      </c>
      <c r="AU23" s="1">
        <v>1246401.03351816</v>
      </c>
    </row>
    <row r="24" spans="2:47" ht="18" customHeight="1" x14ac:dyDescent="0.25">
      <c r="B24" s="2">
        <f>IF(G24=$B$6,MAX(B$7:B23)+1,IF($B$6="Nifty 500 - All Sector",B23+1,0))</f>
        <v>0</v>
      </c>
      <c r="C24" s="45">
        <v>5418</v>
      </c>
      <c r="D24" s="45" t="s">
        <v>43</v>
      </c>
      <c r="E24" s="45" t="s">
        <v>533</v>
      </c>
      <c r="F24" s="45" t="s">
        <v>556</v>
      </c>
      <c r="G24" s="45" t="s">
        <v>4</v>
      </c>
      <c r="H24" s="45" t="s">
        <v>532</v>
      </c>
      <c r="I24" s="37">
        <v>46130</v>
      </c>
      <c r="J24" s="46">
        <v>22704.260008060191</v>
      </c>
      <c r="K24" s="39">
        <v>7.1312428009525197</v>
      </c>
      <c r="L24" s="39">
        <v>3.5200235272830893</v>
      </c>
      <c r="M24" s="46" t="s">
        <v>539</v>
      </c>
      <c r="N24" s="46">
        <v>21192.940000000002</v>
      </c>
      <c r="O24" s="46">
        <v>21932.239999999998</v>
      </c>
      <c r="P24" s="47" t="s">
        <v>540</v>
      </c>
      <c r="Q24" s="47" t="s">
        <v>540</v>
      </c>
      <c r="R24" s="40"/>
      <c r="S24" s="38">
        <v>18469.268749999999</v>
      </c>
      <c r="T24" s="39"/>
      <c r="U24" s="39"/>
      <c r="V24" s="46" t="s">
        <v>539</v>
      </c>
      <c r="W24" s="46">
        <v>17664.25</v>
      </c>
      <c r="X24" s="46">
        <v>17355.96</v>
      </c>
      <c r="Y24" s="47" t="s">
        <v>540</v>
      </c>
      <c r="Z24" s="47" t="s">
        <v>540</v>
      </c>
      <c r="AA24" s="41" t="s">
        <v>540</v>
      </c>
      <c r="AB24" s="48" t="s">
        <v>540</v>
      </c>
      <c r="AC24" s="40"/>
      <c r="AD24" s="49">
        <v>12928.3091</v>
      </c>
      <c r="AE24" s="50">
        <v>2.36531301911862</v>
      </c>
      <c r="AF24" s="50">
        <v>14.229272141553251</v>
      </c>
      <c r="AG24" s="43" t="s">
        <v>540</v>
      </c>
      <c r="AH24" s="43">
        <v>12629.58</v>
      </c>
      <c r="AI24" s="43">
        <v>11317.86</v>
      </c>
      <c r="AJ24" s="41" t="s">
        <v>539</v>
      </c>
      <c r="AK24" s="41" t="s">
        <v>539</v>
      </c>
      <c r="AL24" s="44"/>
      <c r="AM24" s="49">
        <v>12928.3091</v>
      </c>
      <c r="AN24" s="50">
        <v>2.36531301911862</v>
      </c>
      <c r="AO24" s="50">
        <v>14.229272141553251</v>
      </c>
      <c r="AP24" s="43" t="s">
        <v>539</v>
      </c>
      <c r="AQ24" s="43">
        <v>12629.58</v>
      </c>
      <c r="AR24" s="43">
        <v>11317.86</v>
      </c>
      <c r="AS24" s="41" t="s">
        <v>539</v>
      </c>
      <c r="AT24" s="41" t="s">
        <v>539</v>
      </c>
      <c r="AU24" s="1">
        <v>965223.50992783997</v>
      </c>
    </row>
    <row r="25" spans="2:47" ht="18" customHeight="1" x14ac:dyDescent="0.25">
      <c r="B25" s="2">
        <f>IF(G25=$B$6,MAX(B$7:B24)+1,IF($B$6="Nifty 500 - All Sector",B24+1,0))</f>
        <v>0</v>
      </c>
      <c r="C25" s="45">
        <v>25267</v>
      </c>
      <c r="D25" s="45" t="s">
        <v>44</v>
      </c>
      <c r="E25" s="45" t="s">
        <v>533</v>
      </c>
      <c r="F25" s="45" t="s">
        <v>557</v>
      </c>
      <c r="G25" s="45" t="s">
        <v>4</v>
      </c>
      <c r="H25" s="45" t="s">
        <v>535</v>
      </c>
      <c r="I25" s="37">
        <v>46130</v>
      </c>
      <c r="J25" s="46">
        <v>2567.8847259646382</v>
      </c>
      <c r="K25" s="39">
        <v>12.806617844481472</v>
      </c>
      <c r="L25" s="39">
        <v>4.1484720134911557</v>
      </c>
      <c r="M25" s="46" t="s">
        <v>539</v>
      </c>
      <c r="N25" s="46">
        <v>2276.3599999999997</v>
      </c>
      <c r="O25" s="46">
        <v>2465.6000000000004</v>
      </c>
      <c r="P25" s="47" t="s">
        <v>540</v>
      </c>
      <c r="Q25" s="47" t="s">
        <v>540</v>
      </c>
      <c r="R25" s="40"/>
      <c r="S25" s="38">
        <v>1414.95</v>
      </c>
      <c r="T25" s="39"/>
      <c r="U25" s="39"/>
      <c r="V25" s="46" t="s">
        <v>539</v>
      </c>
      <c r="W25" s="46">
        <v>1314.38</v>
      </c>
      <c r="X25" s="46">
        <v>1233.6199999999999</v>
      </c>
      <c r="Y25" s="47" t="s">
        <v>540</v>
      </c>
      <c r="Z25" s="47" t="s">
        <v>540</v>
      </c>
      <c r="AA25" s="41" t="s">
        <v>540</v>
      </c>
      <c r="AB25" s="48" t="s">
        <v>540</v>
      </c>
      <c r="AC25" s="40"/>
      <c r="AD25" s="49">
        <v>996.125</v>
      </c>
      <c r="AE25" s="50">
        <v>34.954343467186909</v>
      </c>
      <c r="AF25" s="50">
        <v>4.6767617326243682</v>
      </c>
      <c r="AG25" s="43" t="s">
        <v>540</v>
      </c>
      <c r="AH25" s="43">
        <v>738.12</v>
      </c>
      <c r="AI25" s="43">
        <v>951.62</v>
      </c>
      <c r="AJ25" s="41" t="s">
        <v>539</v>
      </c>
      <c r="AK25" s="41" t="s">
        <v>539</v>
      </c>
      <c r="AL25" s="44"/>
      <c r="AM25" s="49">
        <v>996.125</v>
      </c>
      <c r="AN25" s="50">
        <v>34.954343467186909</v>
      </c>
      <c r="AO25" s="50">
        <v>4.6767617326243682</v>
      </c>
      <c r="AP25" s="43" t="s">
        <v>539</v>
      </c>
      <c r="AQ25" s="43">
        <v>738.12</v>
      </c>
      <c r="AR25" s="43">
        <v>951.62</v>
      </c>
      <c r="AS25" s="41" t="s">
        <v>539</v>
      </c>
      <c r="AT25" s="41" t="s">
        <v>539</v>
      </c>
      <c r="AU25" s="1">
        <v>60752.098900063997</v>
      </c>
    </row>
    <row r="26" spans="2:47" ht="18" customHeight="1" x14ac:dyDescent="0.25">
      <c r="B26" s="2">
        <f>IF(G26=$B$6,MAX(B$7:B25)+1,IF($B$6="Nifty 500 - All Sector",B25+1,0))</f>
        <v>0</v>
      </c>
      <c r="C26" s="36">
        <v>77966</v>
      </c>
      <c r="D26" s="36" t="s">
        <v>45</v>
      </c>
      <c r="E26" s="36" t="s">
        <v>527</v>
      </c>
      <c r="F26" s="36" t="s">
        <v>558</v>
      </c>
      <c r="G26" s="36" t="s">
        <v>2</v>
      </c>
      <c r="H26" s="36" t="s">
        <v>535</v>
      </c>
      <c r="I26" s="37">
        <v>46132</v>
      </c>
      <c r="J26" s="38">
        <v>1383.6333333333334</v>
      </c>
      <c r="K26" s="39" t="s">
        <v>540</v>
      </c>
      <c r="L26" s="39">
        <v>13.77889905641554</v>
      </c>
      <c r="M26" s="38" t="s">
        <v>539</v>
      </c>
      <c r="N26" s="38">
        <v>0</v>
      </c>
      <c r="O26" s="38">
        <v>1216.0719999999999</v>
      </c>
      <c r="P26" s="39" t="s">
        <v>540</v>
      </c>
      <c r="Q26" s="39" t="s">
        <v>540</v>
      </c>
      <c r="R26" s="40"/>
      <c r="S26" s="38">
        <v>870.55</v>
      </c>
      <c r="T26" s="39">
        <v>62.917680503023433</v>
      </c>
      <c r="U26" s="39" t="s">
        <v>540</v>
      </c>
      <c r="V26" s="38" t="s">
        <v>539</v>
      </c>
      <c r="W26" s="38" t="s">
        <v>540</v>
      </c>
      <c r="X26" s="38">
        <v>720.48800000000006</v>
      </c>
      <c r="Y26" s="39" t="s">
        <v>540</v>
      </c>
      <c r="Z26" s="39" t="s">
        <v>540</v>
      </c>
      <c r="AA26" s="41" t="s">
        <v>540</v>
      </c>
      <c r="AB26" s="42" t="s">
        <v>540</v>
      </c>
      <c r="AC26" s="40"/>
      <c r="AD26" s="43">
        <v>647.66000000000008</v>
      </c>
      <c r="AE26" s="39" t="s">
        <v>539</v>
      </c>
      <c r="AF26" s="39">
        <v>18.272893619041717</v>
      </c>
      <c r="AG26" s="43" t="s">
        <v>539</v>
      </c>
      <c r="AH26" s="43">
        <v>0</v>
      </c>
      <c r="AI26" s="43">
        <v>547.59799999999996</v>
      </c>
      <c r="AJ26" s="39" t="s">
        <v>539</v>
      </c>
      <c r="AK26" s="39" t="s">
        <v>539</v>
      </c>
      <c r="AL26" s="44"/>
      <c r="AM26" s="43">
        <v>647.66000000000008</v>
      </c>
      <c r="AN26" s="39" t="s">
        <v>539</v>
      </c>
      <c r="AO26" s="39">
        <v>18.41669820617884</v>
      </c>
      <c r="AP26" s="43" t="s">
        <v>539</v>
      </c>
      <c r="AQ26" s="43">
        <v>0</v>
      </c>
      <c r="AR26" s="43">
        <v>546.93299999999999</v>
      </c>
      <c r="AS26" s="39" t="s">
        <v>539</v>
      </c>
      <c r="AT26" s="39" t="s">
        <v>539</v>
      </c>
      <c r="AU26" s="1">
        <v>130804.48975635</v>
      </c>
    </row>
    <row r="27" spans="2:47" ht="18" customHeight="1" x14ac:dyDescent="0.25">
      <c r="B27" s="2">
        <f>IF(G27=$B$6,MAX(B$7:B26)+1,IF($B$6="Nifty 500 - All Sector",B26+1,0))</f>
        <v>0</v>
      </c>
      <c r="C27" s="36">
        <v>16474</v>
      </c>
      <c r="D27" s="36" t="s">
        <v>46</v>
      </c>
      <c r="E27" s="36" t="s">
        <v>527</v>
      </c>
      <c r="F27" s="36" t="s">
        <v>559</v>
      </c>
      <c r="G27" s="36" t="s">
        <v>2</v>
      </c>
      <c r="H27" s="36" t="s">
        <v>529</v>
      </c>
      <c r="I27" s="37">
        <v>46132</v>
      </c>
      <c r="J27" s="38">
        <v>889.96</v>
      </c>
      <c r="K27" s="39">
        <v>5.4704906375918627</v>
      </c>
      <c r="L27" s="39">
        <v>2.7430154698683928</v>
      </c>
      <c r="M27" s="38" t="s">
        <v>539</v>
      </c>
      <c r="N27" s="38">
        <v>843.8</v>
      </c>
      <c r="O27" s="38">
        <v>866.2</v>
      </c>
      <c r="P27" s="39" t="s">
        <v>540</v>
      </c>
      <c r="Q27" s="39" t="s">
        <v>540</v>
      </c>
      <c r="R27" s="40"/>
      <c r="S27" s="38" t="s">
        <v>539</v>
      </c>
      <c r="T27" s="39" t="s">
        <v>540</v>
      </c>
      <c r="U27" s="39" t="s">
        <v>540</v>
      </c>
      <c r="V27" s="38" t="s">
        <v>539</v>
      </c>
      <c r="W27" s="38">
        <v>0</v>
      </c>
      <c r="X27" s="38">
        <v>0</v>
      </c>
      <c r="Y27" s="39" t="s">
        <v>540</v>
      </c>
      <c r="Z27" s="39" t="s">
        <v>540</v>
      </c>
      <c r="AA27" s="41" t="s">
        <v>540</v>
      </c>
      <c r="AB27" s="42" t="s">
        <v>540</v>
      </c>
      <c r="AC27" s="40"/>
      <c r="AD27" s="43">
        <v>567.75</v>
      </c>
      <c r="AE27" s="39">
        <v>3.156001308187073</v>
      </c>
      <c r="AF27" s="39">
        <v>9.1092533871432568</v>
      </c>
      <c r="AG27" s="43" t="s">
        <v>540</v>
      </c>
      <c r="AH27" s="43">
        <v>550.38</v>
      </c>
      <c r="AI27" s="43">
        <v>520.35</v>
      </c>
      <c r="AJ27" s="39" t="s">
        <v>539</v>
      </c>
      <c r="AK27" s="39" t="s">
        <v>539</v>
      </c>
      <c r="AL27" s="44"/>
      <c r="AM27" s="43">
        <v>567.75</v>
      </c>
      <c r="AN27" s="39">
        <v>3.156001308187073</v>
      </c>
      <c r="AO27" s="39">
        <v>9.1092533871432568</v>
      </c>
      <c r="AP27" s="43" t="s">
        <v>539</v>
      </c>
      <c r="AQ27" s="43">
        <v>550.38</v>
      </c>
      <c r="AR27" s="43">
        <v>520.35</v>
      </c>
      <c r="AS27" s="39" t="s">
        <v>539</v>
      </c>
      <c r="AT27" s="39" t="s">
        <v>539</v>
      </c>
      <c r="AU27" s="1">
        <v>22559.68521113</v>
      </c>
    </row>
    <row r="28" spans="2:47" ht="18" customHeight="1" x14ac:dyDescent="0.25">
      <c r="B28" s="2">
        <f>IF(G28=$B$6,MAX(B$7:B27)+1,IF($B$6="Nifty 500 - All Sector",B27+1,0))</f>
        <v>0</v>
      </c>
      <c r="C28" s="45">
        <v>5607</v>
      </c>
      <c r="D28" s="45" t="s">
        <v>47</v>
      </c>
      <c r="E28" s="45" t="s">
        <v>533</v>
      </c>
      <c r="F28" s="45" t="s">
        <v>560</v>
      </c>
      <c r="G28" s="45" t="s">
        <v>4</v>
      </c>
      <c r="H28" s="45" t="s">
        <v>535</v>
      </c>
      <c r="I28" s="37">
        <v>46132</v>
      </c>
      <c r="J28" s="46" t="s">
        <v>539</v>
      </c>
      <c r="K28" s="39" t="s">
        <v>540</v>
      </c>
      <c r="L28" s="39" t="s">
        <v>540</v>
      </c>
      <c r="M28" s="46" t="s">
        <v>539</v>
      </c>
      <c r="N28" s="46">
        <v>3116.43</v>
      </c>
      <c r="O28" s="46">
        <v>3422.2799999999997</v>
      </c>
      <c r="P28" s="47" t="s">
        <v>540</v>
      </c>
      <c r="Q28" s="47" t="s">
        <v>540</v>
      </c>
      <c r="R28" s="40"/>
      <c r="S28" s="38" t="s">
        <v>539</v>
      </c>
      <c r="T28" s="39"/>
      <c r="U28" s="39"/>
      <c r="V28" s="46" t="s">
        <v>539</v>
      </c>
      <c r="W28" s="46">
        <v>2519.7399999999998</v>
      </c>
      <c r="X28" s="46">
        <v>2735.57</v>
      </c>
      <c r="Y28" s="47" t="s">
        <v>540</v>
      </c>
      <c r="Z28" s="47" t="s">
        <v>540</v>
      </c>
      <c r="AA28" s="41" t="s">
        <v>540</v>
      </c>
      <c r="AB28" s="48" t="s">
        <v>540</v>
      </c>
      <c r="AC28" s="40"/>
      <c r="AD28" s="49" t="s">
        <v>540</v>
      </c>
      <c r="AE28" s="50" t="s">
        <v>539</v>
      </c>
      <c r="AF28" s="50" t="s">
        <v>539</v>
      </c>
      <c r="AG28" s="43" t="s">
        <v>540</v>
      </c>
      <c r="AH28" s="43">
        <v>1493.08</v>
      </c>
      <c r="AI28" s="43">
        <v>1779.33</v>
      </c>
      <c r="AJ28" s="41" t="s">
        <v>539</v>
      </c>
      <c r="AK28" s="41" t="s">
        <v>539</v>
      </c>
      <c r="AL28" s="44"/>
      <c r="AM28" s="49" t="s">
        <v>539</v>
      </c>
      <c r="AN28" s="50" t="s">
        <v>539</v>
      </c>
      <c r="AO28" s="50" t="s">
        <v>539</v>
      </c>
      <c r="AP28" s="43" t="s">
        <v>539</v>
      </c>
      <c r="AQ28" s="43">
        <v>1493.08</v>
      </c>
      <c r="AR28" s="43">
        <v>1779.33</v>
      </c>
      <c r="AS28" s="41" t="s">
        <v>539</v>
      </c>
      <c r="AT28" s="41" t="s">
        <v>539</v>
      </c>
      <c r="AU28" s="1">
        <v>54910.01078805</v>
      </c>
    </row>
    <row r="29" spans="2:47" ht="18" customHeight="1" x14ac:dyDescent="0.25">
      <c r="B29" s="2">
        <f>IF(G29=$B$6,MAX(B$7:B28)+1,IF($B$6="Nifty 500 - All Sector",B28+1,0))</f>
        <v>0</v>
      </c>
      <c r="C29" s="36">
        <v>28340</v>
      </c>
      <c r="D29" s="36" t="s">
        <v>48</v>
      </c>
      <c r="E29" s="36" t="s">
        <v>527</v>
      </c>
      <c r="F29" s="36" t="s">
        <v>561</v>
      </c>
      <c r="G29" s="36" t="s">
        <v>542</v>
      </c>
      <c r="H29" s="36" t="s">
        <v>529</v>
      </c>
      <c r="I29" s="37">
        <v>46133</v>
      </c>
      <c r="J29" s="38">
        <v>810.7</v>
      </c>
      <c r="K29" s="39">
        <v>19.840941343424802</v>
      </c>
      <c r="L29" s="39">
        <v>10.035832564200021</v>
      </c>
      <c r="M29" s="38" t="s">
        <v>539</v>
      </c>
      <c r="N29" s="38">
        <v>676.48</v>
      </c>
      <c r="O29" s="38">
        <v>736.76</v>
      </c>
      <c r="P29" s="39" t="s">
        <v>540</v>
      </c>
      <c r="Q29" s="39" t="s">
        <v>540</v>
      </c>
      <c r="R29" s="40"/>
      <c r="S29" s="38">
        <v>141.19999999999999</v>
      </c>
      <c r="T29" s="39">
        <v>17.41704699642284</v>
      </c>
      <c r="U29" s="39">
        <v>-198.63352173898363</v>
      </c>
      <c r="V29" s="38" t="s">
        <v>539</v>
      </c>
      <c r="W29" s="38">
        <v>131.26</v>
      </c>
      <c r="X29" s="38">
        <v>124.98</v>
      </c>
      <c r="Y29" s="39" t="s">
        <v>540</v>
      </c>
      <c r="Z29" s="39" t="s">
        <v>540</v>
      </c>
      <c r="AA29" s="41" t="s">
        <v>540</v>
      </c>
      <c r="AB29" s="42" t="s">
        <v>540</v>
      </c>
      <c r="AC29" s="40"/>
      <c r="AD29" s="43">
        <v>91.7</v>
      </c>
      <c r="AE29" s="39">
        <v>-2.6539278131634814</v>
      </c>
      <c r="AF29" s="39">
        <v>20.705541661181904</v>
      </c>
      <c r="AG29" s="43" t="s">
        <v>539</v>
      </c>
      <c r="AH29" s="43">
        <v>94.2</v>
      </c>
      <c r="AI29" s="43">
        <v>75.970000000000098</v>
      </c>
      <c r="AJ29" s="39" t="s">
        <v>539</v>
      </c>
      <c r="AK29" s="39" t="s">
        <v>539</v>
      </c>
      <c r="AL29" s="44"/>
      <c r="AM29" s="43">
        <v>91.7</v>
      </c>
      <c r="AN29" s="39">
        <v>-2.6229160029733412</v>
      </c>
      <c r="AO29" s="39">
        <v>24.170616113744092</v>
      </c>
      <c r="AP29" s="43" t="s">
        <v>539</v>
      </c>
      <c r="AQ29" s="43">
        <v>94.17</v>
      </c>
      <c r="AR29" s="43">
        <v>73.849999999999994</v>
      </c>
      <c r="AS29" s="39" t="s">
        <v>539</v>
      </c>
      <c r="AT29" s="39" t="s">
        <v>539</v>
      </c>
      <c r="AU29" s="1">
        <v>9264.6184664100001</v>
      </c>
    </row>
    <row r="30" spans="2:47" ht="18" customHeight="1" x14ac:dyDescent="0.25">
      <c r="B30" s="2">
        <f>IF(G30=$B$6,MAX(B$7:B29)+1,IF($B$6="Nifty 500 - All Sector",B29+1,0))</f>
        <v>0</v>
      </c>
      <c r="C30" s="36">
        <v>175</v>
      </c>
      <c r="D30" s="36" t="s">
        <v>49</v>
      </c>
      <c r="E30" s="36" t="s">
        <v>533</v>
      </c>
      <c r="F30" s="36" t="s">
        <v>562</v>
      </c>
      <c r="G30" s="36" t="s">
        <v>563</v>
      </c>
      <c r="H30" s="36" t="s">
        <v>532</v>
      </c>
      <c r="I30" s="37">
        <v>46133</v>
      </c>
      <c r="J30" s="38">
        <v>6178.9230769230762</v>
      </c>
      <c r="K30" s="39">
        <v>12.264858189551298</v>
      </c>
      <c r="L30" s="39">
        <v>9.032635677939016</v>
      </c>
      <c r="M30" s="38" t="s">
        <v>539</v>
      </c>
      <c r="N30" s="38">
        <v>5503.88</v>
      </c>
      <c r="O30" s="38">
        <v>5667.0400000000009</v>
      </c>
      <c r="P30" s="39" t="s">
        <v>540</v>
      </c>
      <c r="Q30" s="39" t="s">
        <v>540</v>
      </c>
      <c r="R30" s="40"/>
      <c r="S30" s="38">
        <v>1500.8461538461538</v>
      </c>
      <c r="T30" s="39">
        <v>24.289769190548515</v>
      </c>
      <c r="U30" s="39">
        <v>-94.624612955294296</v>
      </c>
      <c r="V30" s="38" t="s">
        <v>539</v>
      </c>
      <c r="W30" s="38">
        <v>1388.96</v>
      </c>
      <c r="X30" s="38">
        <v>1173.82</v>
      </c>
      <c r="Y30" s="39" t="s">
        <v>540</v>
      </c>
      <c r="Z30" s="39" t="s">
        <v>540</v>
      </c>
      <c r="AA30" s="41" t="s">
        <v>540</v>
      </c>
      <c r="AB30" s="42" t="s">
        <v>540</v>
      </c>
      <c r="AC30" s="40"/>
      <c r="AD30" s="43">
        <v>920.63080000000014</v>
      </c>
      <c r="AE30" s="39">
        <v>3.9779085395467817</v>
      </c>
      <c r="AF30" s="39">
        <v>-9.5700842779403832</v>
      </c>
      <c r="AG30" s="43" t="s">
        <v>539</v>
      </c>
      <c r="AH30" s="43">
        <v>885.40999999999894</v>
      </c>
      <c r="AI30" s="43">
        <v>1018.06</v>
      </c>
      <c r="AJ30" s="39" t="s">
        <v>539</v>
      </c>
      <c r="AK30" s="39" t="s">
        <v>539</v>
      </c>
      <c r="AL30" s="44"/>
      <c r="AM30" s="43">
        <v>920.63080000000014</v>
      </c>
      <c r="AN30" s="39">
        <v>3.9779085395467817</v>
      </c>
      <c r="AO30" s="39">
        <v>-9.5700842779403832</v>
      </c>
      <c r="AP30" s="43" t="s">
        <v>539</v>
      </c>
      <c r="AQ30" s="43">
        <v>885.40999999999894</v>
      </c>
      <c r="AR30" s="43">
        <v>1018.06</v>
      </c>
      <c r="AS30" s="39" t="s">
        <v>539</v>
      </c>
      <c r="AT30" s="39" t="s">
        <v>539</v>
      </c>
      <c r="AU30" s="1">
        <v>242254.12802159999</v>
      </c>
    </row>
    <row r="31" spans="2:47" ht="18" customHeight="1" x14ac:dyDescent="0.25">
      <c r="B31" s="2">
        <f>IF(G31=$B$6,MAX(B$7:B30)+1,IF($B$6="Nifty 500 - All Sector",B30+1,0))</f>
        <v>0</v>
      </c>
      <c r="C31" s="36">
        <v>66008</v>
      </c>
      <c r="D31" s="36" t="s">
        <v>50</v>
      </c>
      <c r="E31" s="36" t="s">
        <v>527</v>
      </c>
      <c r="F31" s="36" t="s">
        <v>564</v>
      </c>
      <c r="G31" s="36" t="s">
        <v>2</v>
      </c>
      <c r="H31" s="36" t="s">
        <v>535</v>
      </c>
      <c r="I31" s="37">
        <v>46133</v>
      </c>
      <c r="J31" s="38">
        <v>809.4</v>
      </c>
      <c r="K31" s="39">
        <v>34.324642780091949</v>
      </c>
      <c r="L31" s="39">
        <v>-8.5960791399403718</v>
      </c>
      <c r="M31" s="38" t="s">
        <v>539</v>
      </c>
      <c r="N31" s="38">
        <v>602.56999999999994</v>
      </c>
      <c r="O31" s="38">
        <v>885.52</v>
      </c>
      <c r="P31" s="39" t="s">
        <v>540</v>
      </c>
      <c r="Q31" s="39" t="s">
        <v>540</v>
      </c>
      <c r="R31" s="40"/>
      <c r="S31" s="38" t="s">
        <v>539</v>
      </c>
      <c r="T31" s="39" t="s">
        <v>540</v>
      </c>
      <c r="U31" s="39" t="s">
        <v>540</v>
      </c>
      <c r="V31" s="38" t="s">
        <v>539</v>
      </c>
      <c r="W31" s="38">
        <v>0</v>
      </c>
      <c r="X31" s="38">
        <v>0</v>
      </c>
      <c r="Y31" s="39" t="s">
        <v>540</v>
      </c>
      <c r="Z31" s="39" t="s">
        <v>540</v>
      </c>
      <c r="AA31" s="41" t="s">
        <v>540</v>
      </c>
      <c r="AB31" s="42" t="s">
        <v>540</v>
      </c>
      <c r="AC31" s="40"/>
      <c r="AD31" s="43">
        <v>323.07499999999999</v>
      </c>
      <c r="AE31" s="39">
        <v>29.437099358974361</v>
      </c>
      <c r="AF31" s="39">
        <v>-1.2848325592764609</v>
      </c>
      <c r="AG31" s="43" t="s">
        <v>540</v>
      </c>
      <c r="AH31" s="43">
        <v>249.6</v>
      </c>
      <c r="AI31" s="43">
        <v>327.27999999999997</v>
      </c>
      <c r="AJ31" s="39" t="s">
        <v>539</v>
      </c>
      <c r="AK31" s="39" t="s">
        <v>539</v>
      </c>
      <c r="AL31" s="44"/>
      <c r="AM31" s="43">
        <v>323.07499999999999</v>
      </c>
      <c r="AN31" s="39">
        <v>29.437099358974361</v>
      </c>
      <c r="AO31" s="39">
        <v>-1.2848325592764609</v>
      </c>
      <c r="AP31" s="43" t="s">
        <v>539</v>
      </c>
      <c r="AQ31" s="43">
        <v>249.6</v>
      </c>
      <c r="AR31" s="43">
        <v>327.27999999999997</v>
      </c>
      <c r="AS31" s="39" t="s">
        <v>539</v>
      </c>
      <c r="AT31" s="39" t="s">
        <v>539</v>
      </c>
      <c r="AU31" s="1">
        <v>42916.648743459999</v>
      </c>
    </row>
    <row r="32" spans="2:47" ht="18" customHeight="1" x14ac:dyDescent="0.25">
      <c r="B32" s="2">
        <f>IF(G32=$B$6,MAX(B$7:B31)+1,IF($B$6="Nifty 500 - All Sector",B31+1,0))</f>
        <v>0</v>
      </c>
      <c r="C32" s="36">
        <v>298</v>
      </c>
      <c r="D32" s="36" t="s">
        <v>51</v>
      </c>
      <c r="E32" s="36" t="s">
        <v>527</v>
      </c>
      <c r="F32" s="36" t="s">
        <v>565</v>
      </c>
      <c r="G32" s="36" t="s">
        <v>2</v>
      </c>
      <c r="H32" s="36" t="s">
        <v>535</v>
      </c>
      <c r="I32" s="37">
        <v>46133</v>
      </c>
      <c r="J32" s="38" t="s">
        <v>539</v>
      </c>
      <c r="K32" s="39" t="s">
        <v>540</v>
      </c>
      <c r="L32" s="39" t="s">
        <v>540</v>
      </c>
      <c r="M32" s="38" t="s">
        <v>539</v>
      </c>
      <c r="N32" s="38">
        <v>16.43</v>
      </c>
      <c r="O32" s="38">
        <v>57.92</v>
      </c>
      <c r="P32" s="39" t="s">
        <v>540</v>
      </c>
      <c r="Q32" s="39" t="s">
        <v>540</v>
      </c>
      <c r="R32" s="40"/>
      <c r="S32" s="38" t="s">
        <v>539</v>
      </c>
      <c r="T32" s="39" t="s">
        <v>540</v>
      </c>
      <c r="U32" s="39" t="s">
        <v>540</v>
      </c>
      <c r="V32" s="38" t="s">
        <v>539</v>
      </c>
      <c r="W32" s="38">
        <v>7.39</v>
      </c>
      <c r="X32" s="38">
        <v>47.67</v>
      </c>
      <c r="Y32" s="39" t="s">
        <v>540</v>
      </c>
      <c r="Z32" s="39" t="s">
        <v>540</v>
      </c>
      <c r="AA32" s="41" t="s">
        <v>540</v>
      </c>
      <c r="AB32" s="42" t="s">
        <v>540</v>
      </c>
      <c r="AC32" s="40"/>
      <c r="AD32" s="43" t="s">
        <v>540</v>
      </c>
      <c r="AE32" s="39" t="s">
        <v>539</v>
      </c>
      <c r="AF32" s="39" t="s">
        <v>539</v>
      </c>
      <c r="AG32" s="43" t="s">
        <v>539</v>
      </c>
      <c r="AH32" s="43">
        <v>8.5</v>
      </c>
      <c r="AI32" s="43">
        <v>44.13</v>
      </c>
      <c r="AJ32" s="39" t="s">
        <v>539</v>
      </c>
      <c r="AK32" s="39" t="s">
        <v>539</v>
      </c>
      <c r="AL32" s="44"/>
      <c r="AM32" s="43" t="s">
        <v>539</v>
      </c>
      <c r="AN32" s="39" t="s">
        <v>539</v>
      </c>
      <c r="AO32" s="39" t="s">
        <v>539</v>
      </c>
      <c r="AP32" s="43" t="s">
        <v>539</v>
      </c>
      <c r="AQ32" s="43">
        <v>37.72</v>
      </c>
      <c r="AR32" s="43">
        <v>75.39</v>
      </c>
      <c r="AS32" s="39" t="s">
        <v>539</v>
      </c>
      <c r="AT32" s="39" t="s">
        <v>539</v>
      </c>
      <c r="AU32" s="1">
        <v>36071.9162832</v>
      </c>
    </row>
    <row r="33" spans="2:47" ht="18" customHeight="1" x14ac:dyDescent="0.25">
      <c r="B33" s="2">
        <f>IF(G33=$B$6,MAX(B$7:B32)+1,IF($B$6="Nifty 500 - All Sector",B32+1,0))</f>
        <v>3</v>
      </c>
      <c r="C33" s="36">
        <v>5656</v>
      </c>
      <c r="D33" s="36" t="s">
        <v>52</v>
      </c>
      <c r="E33" s="36" t="s">
        <v>527</v>
      </c>
      <c r="F33" s="36" t="s">
        <v>566</v>
      </c>
      <c r="G33" s="36" t="s">
        <v>531</v>
      </c>
      <c r="H33" s="36" t="s">
        <v>532</v>
      </c>
      <c r="I33" s="37">
        <v>46133</v>
      </c>
      <c r="J33" s="38">
        <v>33982.30740740741</v>
      </c>
      <c r="K33" s="39">
        <v>12.353062908838886</v>
      </c>
      <c r="L33" s="39">
        <v>0.32565956367327509</v>
      </c>
      <c r="M33" s="38" t="s">
        <v>539</v>
      </c>
      <c r="N33" s="38">
        <v>30246</v>
      </c>
      <c r="O33" s="38">
        <v>33872</v>
      </c>
      <c r="P33" s="39" t="s">
        <v>540</v>
      </c>
      <c r="Q33" s="39" t="s">
        <v>540</v>
      </c>
      <c r="R33" s="40"/>
      <c r="S33" s="38">
        <v>7082.5333333333328</v>
      </c>
      <c r="T33" s="39">
        <v>20.841825860799236</v>
      </c>
      <c r="U33" s="39">
        <v>-58.910715513675527</v>
      </c>
      <c r="V33" s="38" t="s">
        <v>539</v>
      </c>
      <c r="W33" s="38">
        <v>6482</v>
      </c>
      <c r="X33" s="38">
        <v>7412</v>
      </c>
      <c r="Y33" s="39" t="s">
        <v>540</v>
      </c>
      <c r="Z33" s="39" t="s">
        <v>540</v>
      </c>
      <c r="AA33" s="41" t="s">
        <v>540</v>
      </c>
      <c r="AB33" s="42" t="s">
        <v>540</v>
      </c>
      <c r="AC33" s="40"/>
      <c r="AD33" s="43">
        <v>4642.6239999999998</v>
      </c>
      <c r="AE33" s="39">
        <v>7.7424924576467768</v>
      </c>
      <c r="AF33" s="39">
        <v>13.734051935325819</v>
      </c>
      <c r="AG33" s="43" t="s">
        <v>539</v>
      </c>
      <c r="AH33" s="43">
        <v>4309</v>
      </c>
      <c r="AI33" s="43">
        <v>4082</v>
      </c>
      <c r="AJ33" s="39" t="s">
        <v>539</v>
      </c>
      <c r="AK33" s="39" t="s">
        <v>539</v>
      </c>
      <c r="AL33" s="44"/>
      <c r="AM33" s="43">
        <v>4642.6239999999998</v>
      </c>
      <c r="AN33" s="39">
        <v>7.7925237984675988</v>
      </c>
      <c r="AO33" s="39">
        <v>13.901472031403328</v>
      </c>
      <c r="AP33" s="43" t="s">
        <v>539</v>
      </c>
      <c r="AQ33" s="43">
        <v>4307</v>
      </c>
      <c r="AR33" s="43">
        <v>4076</v>
      </c>
      <c r="AS33" s="39" t="s">
        <v>539</v>
      </c>
      <c r="AT33" s="39" t="s">
        <v>539</v>
      </c>
      <c r="AU33" s="1">
        <v>393834.21538248</v>
      </c>
    </row>
    <row r="34" spans="2:47" ht="18" customHeight="1" x14ac:dyDescent="0.25">
      <c r="B34" s="2">
        <f>IF(G34=$B$6,MAX(B$7:B33)+1,IF($B$6="Nifty 500 - All Sector",B33+1,0))</f>
        <v>4</v>
      </c>
      <c r="C34" s="36">
        <v>18286</v>
      </c>
      <c r="D34" s="36" t="s">
        <v>53</v>
      </c>
      <c r="E34" s="36" t="s">
        <v>527</v>
      </c>
      <c r="F34" s="36" t="s">
        <v>567</v>
      </c>
      <c r="G34" s="36" t="s">
        <v>531</v>
      </c>
      <c r="H34" s="36" t="s">
        <v>535</v>
      </c>
      <c r="I34" s="37">
        <v>46133</v>
      </c>
      <c r="J34" s="38">
        <v>3970.9166666666665</v>
      </c>
      <c r="K34" s="39">
        <v>22.47931800834353</v>
      </c>
      <c r="L34" s="39">
        <v>5.1006143569940487</v>
      </c>
      <c r="M34" s="38" t="s">
        <v>539</v>
      </c>
      <c r="N34" s="38">
        <v>3242.1120000000001</v>
      </c>
      <c r="O34" s="38">
        <v>3778.2049999999999</v>
      </c>
      <c r="P34" s="39" t="s">
        <v>540</v>
      </c>
      <c r="Q34" s="39" t="s">
        <v>540</v>
      </c>
      <c r="R34" s="40"/>
      <c r="S34" s="38">
        <v>753.0333333333333</v>
      </c>
      <c r="T34" s="39">
        <v>18.963715347002161</v>
      </c>
      <c r="U34" s="39">
        <v>93.808884181048668</v>
      </c>
      <c r="V34" s="38" t="s">
        <v>539</v>
      </c>
      <c r="W34" s="38">
        <v>584.41099999999994</v>
      </c>
      <c r="X34" s="38">
        <v>733.06500000000005</v>
      </c>
      <c r="Y34" s="39" t="s">
        <v>540</v>
      </c>
      <c r="Z34" s="39" t="s">
        <v>540</v>
      </c>
      <c r="AA34" s="41" t="s">
        <v>540</v>
      </c>
      <c r="AB34" s="42" t="s">
        <v>540</v>
      </c>
      <c r="AC34" s="40"/>
      <c r="AD34" s="43">
        <v>519.76109999999994</v>
      </c>
      <c r="AE34" s="39">
        <v>31.332398423286833</v>
      </c>
      <c r="AF34" s="39">
        <v>18.274290369412949</v>
      </c>
      <c r="AG34" s="43" t="s">
        <v>539</v>
      </c>
      <c r="AH34" s="43">
        <v>395.76</v>
      </c>
      <c r="AI34" s="43">
        <v>439.45400000000001</v>
      </c>
      <c r="AJ34" s="39" t="s">
        <v>539</v>
      </c>
      <c r="AK34" s="39" t="s">
        <v>539</v>
      </c>
      <c r="AL34" s="44"/>
      <c r="AM34" s="43">
        <v>519.76109999999994</v>
      </c>
      <c r="AN34" s="39">
        <v>31.332398423286833</v>
      </c>
      <c r="AO34" s="39">
        <v>18.274290369412949</v>
      </c>
      <c r="AP34" s="43" t="s">
        <v>539</v>
      </c>
      <c r="AQ34" s="43">
        <v>395.76</v>
      </c>
      <c r="AR34" s="43">
        <v>439.45400000000001</v>
      </c>
      <c r="AS34" s="39" t="s">
        <v>539</v>
      </c>
      <c r="AT34" s="39" t="s">
        <v>539</v>
      </c>
      <c r="AU34" s="1">
        <v>86594.496249999997</v>
      </c>
    </row>
    <row r="35" spans="2:47" ht="18" customHeight="1" x14ac:dyDescent="0.25">
      <c r="B35" s="2">
        <f>IF(G35=$B$6,MAX(B$7:B34)+1,IF($B$6="Nifty 500 - All Sector",B34+1,0))</f>
        <v>5</v>
      </c>
      <c r="C35" s="36">
        <v>2322</v>
      </c>
      <c r="D35" s="36" t="s">
        <v>54</v>
      </c>
      <c r="E35" s="36" t="s">
        <v>533</v>
      </c>
      <c r="F35" s="36" t="s">
        <v>568</v>
      </c>
      <c r="G35" s="36" t="s">
        <v>531</v>
      </c>
      <c r="H35" s="36" t="s">
        <v>535</v>
      </c>
      <c r="I35" s="37">
        <v>46133</v>
      </c>
      <c r="J35" s="38">
        <v>995.18571428571431</v>
      </c>
      <c r="K35" s="39">
        <v>9.5614083649348203</v>
      </c>
      <c r="L35" s="39">
        <v>4.3747091463127719</v>
      </c>
      <c r="M35" s="38" t="s">
        <v>539</v>
      </c>
      <c r="N35" s="38">
        <v>908.33600000000001</v>
      </c>
      <c r="O35" s="38">
        <v>953.47400000000005</v>
      </c>
      <c r="P35" s="39" t="s">
        <v>540</v>
      </c>
      <c r="Q35" s="39" t="s">
        <v>540</v>
      </c>
      <c r="R35" s="40"/>
      <c r="S35" s="38">
        <v>239.2428571428571</v>
      </c>
      <c r="T35" s="39">
        <v>24.0400212451373</v>
      </c>
      <c r="U35" s="39">
        <v>117.86571684079838</v>
      </c>
      <c r="V35" s="38" t="s">
        <v>539</v>
      </c>
      <c r="W35" s="38">
        <v>207.65799999999999</v>
      </c>
      <c r="X35" s="38">
        <v>222.245</v>
      </c>
      <c r="Y35" s="39" t="s">
        <v>540</v>
      </c>
      <c r="Z35" s="39" t="s">
        <v>540</v>
      </c>
      <c r="AA35" s="41" t="s">
        <v>540</v>
      </c>
      <c r="AB35" s="42" t="s">
        <v>540</v>
      </c>
      <c r="AC35" s="40"/>
      <c r="AD35" s="43">
        <v>187.12860000000001</v>
      </c>
      <c r="AE35" s="39">
        <v>8.5306808954877624</v>
      </c>
      <c r="AF35" s="39">
        <v>71.851042336302712</v>
      </c>
      <c r="AG35" s="43" t="s">
        <v>539</v>
      </c>
      <c r="AH35" s="43">
        <v>172.42</v>
      </c>
      <c r="AI35" s="43">
        <v>108.89</v>
      </c>
      <c r="AJ35" s="39" t="s">
        <v>539</v>
      </c>
      <c r="AK35" s="39" t="s">
        <v>539</v>
      </c>
      <c r="AL35" s="44"/>
      <c r="AM35" s="43">
        <v>187.12860000000001</v>
      </c>
      <c r="AN35" s="39">
        <v>8.5306808954877624</v>
      </c>
      <c r="AO35" s="39">
        <v>71.851042336302712</v>
      </c>
      <c r="AP35" s="43" t="s">
        <v>539</v>
      </c>
      <c r="AQ35" s="43">
        <v>172.42</v>
      </c>
      <c r="AR35" s="43">
        <v>108.89</v>
      </c>
      <c r="AS35" s="39" t="s">
        <v>539</v>
      </c>
      <c r="AT35" s="39" t="s">
        <v>539</v>
      </c>
      <c r="AU35" s="1">
        <v>28287.989300055</v>
      </c>
    </row>
    <row r="36" spans="2:47" ht="18" customHeight="1" x14ac:dyDescent="0.25">
      <c r="B36" s="2">
        <f>IF(G36=$B$6,MAX(B$7:B35)+1,IF($B$6="Nifty 500 - All Sector",B35+1,0))</f>
        <v>0</v>
      </c>
      <c r="C36" s="36">
        <v>3272</v>
      </c>
      <c r="D36" s="36" t="s">
        <v>55</v>
      </c>
      <c r="E36" s="36" t="s">
        <v>533</v>
      </c>
      <c r="F36" s="36" t="s">
        <v>569</v>
      </c>
      <c r="G36" s="36" t="s">
        <v>542</v>
      </c>
      <c r="H36" s="36" t="s">
        <v>535</v>
      </c>
      <c r="I36" s="37">
        <v>46134</v>
      </c>
      <c r="J36" s="38">
        <v>7190.3066666666664</v>
      </c>
      <c r="K36" s="39">
        <v>10.074640384596734</v>
      </c>
      <c r="L36" s="39">
        <v>29.010210330902765</v>
      </c>
      <c r="M36" s="38" t="s">
        <v>539</v>
      </c>
      <c r="N36" s="38">
        <v>6532.21</v>
      </c>
      <c r="O36" s="38">
        <v>5573.44</v>
      </c>
      <c r="P36" s="39" t="s">
        <v>540</v>
      </c>
      <c r="Q36" s="39" t="s">
        <v>540</v>
      </c>
      <c r="R36" s="40"/>
      <c r="S36" s="38">
        <v>716.0866666666667</v>
      </c>
      <c r="T36" s="39">
        <v>9.9590559883398591</v>
      </c>
      <c r="U36" s="39">
        <v>-168.66198242871081</v>
      </c>
      <c r="V36" s="38" t="s">
        <v>539</v>
      </c>
      <c r="W36" s="38">
        <v>760.72</v>
      </c>
      <c r="X36" s="38">
        <v>524</v>
      </c>
      <c r="Y36" s="39" t="s">
        <v>540</v>
      </c>
      <c r="Z36" s="39" t="s">
        <v>540</v>
      </c>
      <c r="AA36" s="41" t="s">
        <v>540</v>
      </c>
      <c r="AB36" s="42" t="s">
        <v>540</v>
      </c>
      <c r="AC36" s="40"/>
      <c r="AD36" s="43">
        <v>515.55709999999999</v>
      </c>
      <c r="AE36" s="39">
        <v>-1.2834411978709825</v>
      </c>
      <c r="AF36" s="39">
        <v>71.076818423148396</v>
      </c>
      <c r="AG36" s="43" t="s">
        <v>539</v>
      </c>
      <c r="AH36" s="43">
        <v>522.26000000000101</v>
      </c>
      <c r="AI36" s="43">
        <v>301.36</v>
      </c>
      <c r="AJ36" s="39" t="s">
        <v>539</v>
      </c>
      <c r="AK36" s="39" t="s">
        <v>539</v>
      </c>
      <c r="AL36" s="44"/>
      <c r="AM36" s="43">
        <v>515.55709999999999</v>
      </c>
      <c r="AN36" s="39">
        <v>-1.2834411978709825</v>
      </c>
      <c r="AO36" s="39">
        <v>71.076818423148396</v>
      </c>
      <c r="AP36" s="43" t="s">
        <v>539</v>
      </c>
      <c r="AQ36" s="43">
        <v>522.26000000000101</v>
      </c>
      <c r="AR36" s="43">
        <v>301.36</v>
      </c>
      <c r="AS36" s="39" t="s">
        <v>539</v>
      </c>
      <c r="AT36" s="39" t="s">
        <v>539</v>
      </c>
      <c r="AU36" s="1">
        <v>80605.640481209994</v>
      </c>
    </row>
    <row r="37" spans="2:47" ht="18" customHeight="1" x14ac:dyDescent="0.25">
      <c r="B37" s="2">
        <f>IF(G37=$B$6,MAX(B$7:B36)+1,IF($B$6="Nifty 500 - All Sector",B36+1,0))</f>
        <v>0</v>
      </c>
      <c r="C37" s="36">
        <v>22045</v>
      </c>
      <c r="D37" s="36" t="s">
        <v>56</v>
      </c>
      <c r="E37" s="36" t="s">
        <v>533</v>
      </c>
      <c r="F37" s="36" t="s">
        <v>570</v>
      </c>
      <c r="G37" s="36" t="s">
        <v>2</v>
      </c>
      <c r="H37" s="36" t="s">
        <v>532</v>
      </c>
      <c r="I37" s="37">
        <v>46134</v>
      </c>
      <c r="J37" s="38">
        <v>26895.1</v>
      </c>
      <c r="K37" s="39">
        <v>12.717098527244165</v>
      </c>
      <c r="L37" s="39">
        <v>-11.076821141254257</v>
      </c>
      <c r="M37" s="38" t="s">
        <v>539</v>
      </c>
      <c r="N37" s="38">
        <v>23860.71</v>
      </c>
      <c r="O37" s="38">
        <v>30245.32</v>
      </c>
      <c r="P37" s="39" t="s">
        <v>540</v>
      </c>
      <c r="Q37" s="39" t="s">
        <v>540</v>
      </c>
      <c r="R37" s="40"/>
      <c r="S37" s="38" t="s">
        <v>539</v>
      </c>
      <c r="T37" s="39" t="s">
        <v>540</v>
      </c>
      <c r="U37" s="39" t="s">
        <v>540</v>
      </c>
      <c r="V37" s="38" t="s">
        <v>539</v>
      </c>
      <c r="W37" s="38" t="s">
        <v>540</v>
      </c>
      <c r="X37" s="38" t="s">
        <v>540</v>
      </c>
      <c r="Y37" s="39" t="s">
        <v>540</v>
      </c>
      <c r="Z37" s="39" t="s">
        <v>540</v>
      </c>
      <c r="AA37" s="41" t="s">
        <v>540</v>
      </c>
      <c r="AB37" s="42" t="s">
        <v>540</v>
      </c>
      <c r="AC37" s="40"/>
      <c r="AD37" s="43">
        <v>858.2333000000001</v>
      </c>
      <c r="AE37" s="39">
        <v>5.4975722486510614</v>
      </c>
      <c r="AF37" s="39">
        <v>48.807660297535207</v>
      </c>
      <c r="AG37" s="43" t="s">
        <v>539</v>
      </c>
      <c r="AH37" s="43">
        <v>813.50999999999897</v>
      </c>
      <c r="AI37" s="43">
        <v>576.73999999999705</v>
      </c>
      <c r="AJ37" s="39" t="s">
        <v>539</v>
      </c>
      <c r="AK37" s="39" t="s">
        <v>539</v>
      </c>
      <c r="AL37" s="44"/>
      <c r="AM37" s="43">
        <v>858.2333000000001</v>
      </c>
      <c r="AN37" s="39">
        <v>5.4975722486510614</v>
      </c>
      <c r="AO37" s="39">
        <v>48.807660297535207</v>
      </c>
      <c r="AP37" s="43" t="s">
        <v>539</v>
      </c>
      <c r="AQ37" s="43">
        <v>813.50999999999897</v>
      </c>
      <c r="AR37" s="43">
        <v>576.73999999999705</v>
      </c>
      <c r="AS37" s="39" t="s">
        <v>539</v>
      </c>
      <c r="AT37" s="39" t="s">
        <v>539</v>
      </c>
      <c r="AU37" s="1">
        <v>197674.34882486501</v>
      </c>
    </row>
    <row r="38" spans="2:47" ht="18" customHeight="1" x14ac:dyDescent="0.25">
      <c r="B38" s="2">
        <f>IF(G38=$B$6,MAX(B$7:B37)+1,IF($B$6="Nifty 500 - All Sector",B37+1,0))</f>
        <v>6</v>
      </c>
      <c r="C38" s="36">
        <v>17215</v>
      </c>
      <c r="D38" s="36" t="s">
        <v>57</v>
      </c>
      <c r="E38" s="36" t="s">
        <v>527</v>
      </c>
      <c r="F38" s="36" t="s">
        <v>571</v>
      </c>
      <c r="G38" s="36" t="s">
        <v>531</v>
      </c>
      <c r="H38" s="36" t="s">
        <v>532</v>
      </c>
      <c r="I38" s="37">
        <v>46134</v>
      </c>
      <c r="J38" s="38">
        <v>14767.056</v>
      </c>
      <c r="K38" s="39">
        <v>10.333652121936643</v>
      </c>
      <c r="L38" s="39">
        <v>2.5974487952644232</v>
      </c>
      <c r="M38" s="38" t="s">
        <v>539</v>
      </c>
      <c r="N38" s="38">
        <v>13384</v>
      </c>
      <c r="O38" s="38">
        <v>14393.2</v>
      </c>
      <c r="P38" s="39" t="s">
        <v>540</v>
      </c>
      <c r="Q38" s="39" t="s">
        <v>540</v>
      </c>
      <c r="R38" s="40"/>
      <c r="S38" s="38">
        <v>2487.8150000000001</v>
      </c>
      <c r="T38" s="39">
        <v>16.8470614589665</v>
      </c>
      <c r="U38" s="39">
        <v>309.85557805445046</v>
      </c>
      <c r="V38" s="38" t="s">
        <v>539</v>
      </c>
      <c r="W38" s="38">
        <v>1840.1</v>
      </c>
      <c r="X38" s="38">
        <v>2365.6</v>
      </c>
      <c r="Y38" s="39" t="s">
        <v>540</v>
      </c>
      <c r="Z38" s="39" t="s">
        <v>540</v>
      </c>
      <c r="AA38" s="41" t="s">
        <v>540</v>
      </c>
      <c r="AB38" s="42" t="s">
        <v>540</v>
      </c>
      <c r="AC38" s="40"/>
      <c r="AD38" s="43">
        <v>1503.3958</v>
      </c>
      <c r="AE38" s="39">
        <v>31.519184673256937</v>
      </c>
      <c r="AF38" s="39">
        <v>34.50798962154424</v>
      </c>
      <c r="AG38" s="43" t="s">
        <v>539</v>
      </c>
      <c r="AH38" s="43">
        <v>1143.0999999999999</v>
      </c>
      <c r="AI38" s="43">
        <v>1117.7</v>
      </c>
      <c r="AJ38" s="39" t="s">
        <v>539</v>
      </c>
      <c r="AK38" s="39" t="s">
        <v>539</v>
      </c>
      <c r="AL38" s="44"/>
      <c r="AM38" s="43">
        <v>1503.3958</v>
      </c>
      <c r="AN38" s="39">
        <v>28.858815462415354</v>
      </c>
      <c r="AO38" s="39">
        <v>33.992495543672007</v>
      </c>
      <c r="AP38" s="43" t="s">
        <v>539</v>
      </c>
      <c r="AQ38" s="43">
        <v>1166.7</v>
      </c>
      <c r="AR38" s="43">
        <v>1122</v>
      </c>
      <c r="AS38" s="39" t="s">
        <v>539</v>
      </c>
      <c r="AT38" s="39" t="s">
        <v>539</v>
      </c>
      <c r="AU38" s="1">
        <v>145369.24814672</v>
      </c>
    </row>
    <row r="39" spans="2:47" ht="18" customHeight="1" x14ac:dyDescent="0.25">
      <c r="B39" s="2">
        <f>IF(G39=$B$6,MAX(B$7:B38)+1,IF($B$6="Nifty 500 - All Sector",B38+1,0))</f>
        <v>7</v>
      </c>
      <c r="C39" s="36">
        <v>13105</v>
      </c>
      <c r="D39" s="36" t="s">
        <v>58</v>
      </c>
      <c r="E39" s="36" t="s">
        <v>527</v>
      </c>
      <c r="F39" s="36" t="s">
        <v>572</v>
      </c>
      <c r="G39" s="36" t="s">
        <v>531</v>
      </c>
      <c r="H39" s="36" t="s">
        <v>535</v>
      </c>
      <c r="I39" s="37">
        <v>46134</v>
      </c>
      <c r="J39" s="38" t="s">
        <v>539</v>
      </c>
      <c r="K39" s="39" t="s">
        <v>540</v>
      </c>
      <c r="L39" s="39" t="s">
        <v>540</v>
      </c>
      <c r="M39" s="38" t="s">
        <v>539</v>
      </c>
      <c r="N39" s="38">
        <v>1716.3</v>
      </c>
      <c r="O39" s="38">
        <v>1965.9</v>
      </c>
      <c r="P39" s="39" t="s">
        <v>540</v>
      </c>
      <c r="Q39" s="39" t="s">
        <v>540</v>
      </c>
      <c r="R39" s="40"/>
      <c r="S39" s="38" t="s">
        <v>539</v>
      </c>
      <c r="T39" s="39" t="s">
        <v>540</v>
      </c>
      <c r="U39" s="39" t="s">
        <v>540</v>
      </c>
      <c r="V39" s="38" t="s">
        <v>539</v>
      </c>
      <c r="W39" s="38">
        <v>764</v>
      </c>
      <c r="X39" s="38">
        <v>819.6</v>
      </c>
      <c r="Y39" s="39" t="s">
        <v>540</v>
      </c>
      <c r="Z39" s="39" t="s">
        <v>540</v>
      </c>
      <c r="AA39" s="41" t="s">
        <v>540</v>
      </c>
      <c r="AB39" s="42" t="s">
        <v>540</v>
      </c>
      <c r="AC39" s="40"/>
      <c r="AD39" s="43">
        <v>679.4</v>
      </c>
      <c r="AE39" s="39">
        <v>5.5132784593880935</v>
      </c>
      <c r="AF39" s="39">
        <v>11.450131233595794</v>
      </c>
      <c r="AG39" s="43" t="s">
        <v>539</v>
      </c>
      <c r="AH39" s="43">
        <v>643.9</v>
      </c>
      <c r="AI39" s="43">
        <v>609.6</v>
      </c>
      <c r="AJ39" s="39" t="s">
        <v>539</v>
      </c>
      <c r="AK39" s="39" t="s">
        <v>539</v>
      </c>
      <c r="AL39" s="44"/>
      <c r="AM39" s="43">
        <v>679.4</v>
      </c>
      <c r="AN39" s="39">
        <v>5.5132784593880935</v>
      </c>
      <c r="AO39" s="39">
        <v>11.450131233595794</v>
      </c>
      <c r="AP39" s="43" t="s">
        <v>539</v>
      </c>
      <c r="AQ39" s="43">
        <v>643.9</v>
      </c>
      <c r="AR39" s="43">
        <v>609.6</v>
      </c>
      <c r="AS39" s="39" t="s">
        <v>539</v>
      </c>
      <c r="AT39" s="39" t="s">
        <v>539</v>
      </c>
      <c r="AU39" s="1">
        <v>65642.767659930003</v>
      </c>
    </row>
    <row r="40" spans="2:47" ht="18" customHeight="1" x14ac:dyDescent="0.25">
      <c r="B40" s="2">
        <f>IF(G40=$B$6,MAX(B$7:B39)+1,IF($B$6="Nifty 500 - All Sector",B39+1,0))</f>
        <v>8</v>
      </c>
      <c r="C40" s="36">
        <v>2295</v>
      </c>
      <c r="D40" s="36" t="s">
        <v>59</v>
      </c>
      <c r="E40" s="36" t="s">
        <v>527</v>
      </c>
      <c r="F40" s="36" t="s">
        <v>573</v>
      </c>
      <c r="G40" s="36" t="s">
        <v>531</v>
      </c>
      <c r="H40" s="36" t="s">
        <v>535</v>
      </c>
      <c r="I40" s="37">
        <v>46134</v>
      </c>
      <c r="J40" s="38">
        <v>6368.2666666666664</v>
      </c>
      <c r="K40" s="39">
        <v>6.3087576964061531</v>
      </c>
      <c r="L40" s="39">
        <v>2.8970356402869379</v>
      </c>
      <c r="M40" s="38" t="s">
        <v>539</v>
      </c>
      <c r="N40" s="38">
        <v>5990.35</v>
      </c>
      <c r="O40" s="38">
        <v>6188.97</v>
      </c>
      <c r="P40" s="39" t="s">
        <v>540</v>
      </c>
      <c r="Q40" s="39" t="s">
        <v>540</v>
      </c>
      <c r="R40" s="40"/>
      <c r="S40" s="38">
        <v>1272.3833333333334</v>
      </c>
      <c r="T40" s="39">
        <v>19.980057367781921</v>
      </c>
      <c r="U40" s="39">
        <v>124.85976033274255</v>
      </c>
      <c r="V40" s="38" t="s">
        <v>539</v>
      </c>
      <c r="W40" s="38">
        <v>1122.08</v>
      </c>
      <c r="X40" s="38">
        <v>1228.0999999999999</v>
      </c>
      <c r="Y40" s="39" t="s">
        <v>540</v>
      </c>
      <c r="Z40" s="39" t="s">
        <v>540</v>
      </c>
      <c r="AA40" s="41" t="s">
        <v>540</v>
      </c>
      <c r="AB40" s="42" t="s">
        <v>540</v>
      </c>
      <c r="AC40" s="40"/>
      <c r="AD40" s="43">
        <v>329.93330000000003</v>
      </c>
      <c r="AE40" s="39">
        <v>-55.284502270109101</v>
      </c>
      <c r="AF40" s="39">
        <v>-7.6127632168456083</v>
      </c>
      <c r="AG40" s="43" t="s">
        <v>539</v>
      </c>
      <c r="AH40" s="43">
        <v>737.85</v>
      </c>
      <c r="AI40" s="43">
        <v>357.11999999999898</v>
      </c>
      <c r="AJ40" s="39" t="s">
        <v>539</v>
      </c>
      <c r="AK40" s="39" t="s">
        <v>539</v>
      </c>
      <c r="AL40" s="44"/>
      <c r="AM40" s="43">
        <v>329.93330000000003</v>
      </c>
      <c r="AN40" s="39">
        <v>-68.286012265220975</v>
      </c>
      <c r="AO40" s="39">
        <v>-9.676604248795428</v>
      </c>
      <c r="AP40" s="43" t="s">
        <v>539</v>
      </c>
      <c r="AQ40" s="43">
        <v>1040.3399999999999</v>
      </c>
      <c r="AR40" s="43">
        <v>365.28</v>
      </c>
      <c r="AS40" s="39" t="s">
        <v>539</v>
      </c>
      <c r="AT40" s="39" t="s">
        <v>539</v>
      </c>
      <c r="AU40" s="1">
        <v>44430.074999999997</v>
      </c>
    </row>
    <row r="41" spans="2:47" ht="18" customHeight="1" x14ac:dyDescent="0.25">
      <c r="B41" s="2">
        <f>IF(G41=$B$6,MAX(B$7:B40)+1,IF($B$6="Nifty 500 - All Sector",B40+1,0))</f>
        <v>9</v>
      </c>
      <c r="C41" s="36">
        <v>44814</v>
      </c>
      <c r="D41" s="36" t="s">
        <v>60</v>
      </c>
      <c r="E41" s="36" t="s">
        <v>527</v>
      </c>
      <c r="F41" s="36" t="s">
        <v>574</v>
      </c>
      <c r="G41" s="36" t="s">
        <v>531</v>
      </c>
      <c r="H41" s="36" t="s">
        <v>535</v>
      </c>
      <c r="I41" s="37">
        <v>46134</v>
      </c>
      <c r="J41" s="38">
        <v>2971.0812500000002</v>
      </c>
      <c r="K41" s="39">
        <v>-0.37951817328325532</v>
      </c>
      <c r="L41" s="39">
        <v>1.6275440396784635</v>
      </c>
      <c r="M41" s="38" t="s">
        <v>539</v>
      </c>
      <c r="N41" s="38">
        <v>2982.4</v>
      </c>
      <c r="O41" s="38">
        <v>2923.5</v>
      </c>
      <c r="P41" s="39" t="s">
        <v>540</v>
      </c>
      <c r="Q41" s="39" t="s">
        <v>540</v>
      </c>
      <c r="R41" s="40"/>
      <c r="S41" s="38">
        <v>515.5333333333333</v>
      </c>
      <c r="T41" s="39">
        <v>17.351707676568363</v>
      </c>
      <c r="U41" s="39">
        <v>140.81722688430426</v>
      </c>
      <c r="V41" s="38" t="s">
        <v>539</v>
      </c>
      <c r="W41" s="38">
        <v>475.5</v>
      </c>
      <c r="X41" s="38">
        <v>513.79999999999995</v>
      </c>
      <c r="Y41" s="39" t="s">
        <v>540</v>
      </c>
      <c r="Z41" s="39" t="s">
        <v>540</v>
      </c>
      <c r="AA41" s="41" t="s">
        <v>540</v>
      </c>
      <c r="AB41" s="42" t="s">
        <v>540</v>
      </c>
      <c r="AC41" s="40"/>
      <c r="AD41" s="43">
        <v>340.8</v>
      </c>
      <c r="AE41" s="39">
        <v>9.8646034816247674</v>
      </c>
      <c r="AF41" s="39">
        <v>12.438139227977562</v>
      </c>
      <c r="AG41" s="43" t="s">
        <v>539</v>
      </c>
      <c r="AH41" s="43">
        <v>310.2</v>
      </c>
      <c r="AI41" s="43">
        <v>303.10000000000002</v>
      </c>
      <c r="AJ41" s="39" t="s">
        <v>539</v>
      </c>
      <c r="AK41" s="39" t="s">
        <v>539</v>
      </c>
      <c r="AL41" s="44"/>
      <c r="AM41" s="43">
        <v>340.8</v>
      </c>
      <c r="AN41" s="39">
        <v>9.5467695274831232</v>
      </c>
      <c r="AO41" s="39">
        <v>12.623925974884331</v>
      </c>
      <c r="AP41" s="43" t="s">
        <v>539</v>
      </c>
      <c r="AQ41" s="43">
        <v>311.10000000000002</v>
      </c>
      <c r="AR41" s="43">
        <v>302.60000000000002</v>
      </c>
      <c r="AS41" s="39" t="s">
        <v>539</v>
      </c>
      <c r="AT41" s="39" t="s">
        <v>539</v>
      </c>
      <c r="AU41" s="1">
        <v>36375.382733309998</v>
      </c>
    </row>
    <row r="42" spans="2:47" ht="18" customHeight="1" x14ac:dyDescent="0.25">
      <c r="B42" s="2">
        <f>IF(G42=$B$6,MAX(B$7:B41)+1,IF($B$6="Nifty 500 - All Sector",B41+1,0))</f>
        <v>0</v>
      </c>
      <c r="C42" s="36">
        <v>66273</v>
      </c>
      <c r="D42" s="36" t="s">
        <v>61</v>
      </c>
      <c r="E42" s="36" t="s">
        <v>527</v>
      </c>
      <c r="F42" s="36" t="s">
        <v>575</v>
      </c>
      <c r="G42" s="36" t="s">
        <v>576</v>
      </c>
      <c r="H42" s="36" t="s">
        <v>532</v>
      </c>
      <c r="I42" s="37">
        <v>46135</v>
      </c>
      <c r="J42" s="38">
        <v>7004.8</v>
      </c>
      <c r="K42" s="39">
        <v>9.8864552645037129</v>
      </c>
      <c r="L42" s="39">
        <v>4.08862273669508</v>
      </c>
      <c r="M42" s="38" t="s">
        <v>539</v>
      </c>
      <c r="N42" s="38">
        <v>6374.58</v>
      </c>
      <c r="O42" s="38">
        <v>6729.65</v>
      </c>
      <c r="P42" s="39" t="s">
        <v>540</v>
      </c>
      <c r="Q42" s="39" t="s">
        <v>540</v>
      </c>
      <c r="R42" s="40"/>
      <c r="S42" s="38">
        <v>2291.85</v>
      </c>
      <c r="T42" s="39">
        <v>32.718278894472355</v>
      </c>
      <c r="U42" s="39">
        <v>71.679801259464426</v>
      </c>
      <c r="V42" s="38" t="s">
        <v>539</v>
      </c>
      <c r="W42" s="38">
        <v>2039.96</v>
      </c>
      <c r="X42" s="38">
        <v>1995.4</v>
      </c>
      <c r="Y42" s="39" t="s">
        <v>540</v>
      </c>
      <c r="Z42" s="39" t="s">
        <v>540</v>
      </c>
      <c r="AA42" s="41" t="s">
        <v>540</v>
      </c>
      <c r="AB42" s="42" t="s">
        <v>540</v>
      </c>
      <c r="AC42" s="40"/>
      <c r="AD42" s="43">
        <v>660.3</v>
      </c>
      <c r="AE42" s="39">
        <v>-3.8220642642817659</v>
      </c>
      <c r="AF42" s="39">
        <v>14.85875313108842</v>
      </c>
      <c r="AG42" s="43" t="s">
        <v>539</v>
      </c>
      <c r="AH42" s="43">
        <v>686.54</v>
      </c>
      <c r="AI42" s="43">
        <v>574.87999999999897</v>
      </c>
      <c r="AJ42" s="39" t="s">
        <v>539</v>
      </c>
      <c r="AK42" s="39" t="s">
        <v>539</v>
      </c>
      <c r="AL42" s="44"/>
      <c r="AM42" s="43">
        <v>660.3</v>
      </c>
      <c r="AN42" s="39">
        <v>2.031986401916086</v>
      </c>
      <c r="AO42" s="39">
        <v>19.552425268418094</v>
      </c>
      <c r="AP42" s="43" t="s">
        <v>539</v>
      </c>
      <c r="AQ42" s="43">
        <v>647.15</v>
      </c>
      <c r="AR42" s="43">
        <v>552.30999999999995</v>
      </c>
      <c r="AS42" s="39" t="s">
        <v>539</v>
      </c>
      <c r="AT42" s="39" t="s">
        <v>539</v>
      </c>
      <c r="AU42" s="1">
        <v>140688.21661783001</v>
      </c>
    </row>
    <row r="43" spans="2:47" ht="18" customHeight="1" x14ac:dyDescent="0.25">
      <c r="B43" s="2">
        <f>IF(G43=$B$6,MAX(B$7:B42)+1,IF($B$6="Nifty 500 - All Sector",B42+1,0))</f>
        <v>0</v>
      </c>
      <c r="C43" s="36">
        <v>29113</v>
      </c>
      <c r="D43" s="36" t="s">
        <v>62</v>
      </c>
      <c r="E43" s="36" t="s">
        <v>527</v>
      </c>
      <c r="F43" s="36" t="s">
        <v>577</v>
      </c>
      <c r="G43" s="36" t="s">
        <v>2</v>
      </c>
      <c r="H43" s="36" t="s">
        <v>532</v>
      </c>
      <c r="I43" s="37">
        <v>46135</v>
      </c>
      <c r="J43" s="38">
        <v>4355.7199999999993</v>
      </c>
      <c r="K43" s="39" t="s">
        <v>540</v>
      </c>
      <c r="L43" s="39">
        <v>-45.385834511951707</v>
      </c>
      <c r="M43" s="38" t="s">
        <v>539</v>
      </c>
      <c r="N43" s="38">
        <v>0</v>
      </c>
      <c r="O43" s="38">
        <v>7975.4400000000005</v>
      </c>
      <c r="P43" s="39" t="s">
        <v>540</v>
      </c>
      <c r="Q43" s="39" t="s">
        <v>540</v>
      </c>
      <c r="R43" s="40"/>
      <c r="S43" s="38" t="s">
        <v>539</v>
      </c>
      <c r="T43" s="39" t="s">
        <v>540</v>
      </c>
      <c r="U43" s="39" t="s">
        <v>540</v>
      </c>
      <c r="V43" s="38" t="s">
        <v>539</v>
      </c>
      <c r="W43" s="38" t="s">
        <v>540</v>
      </c>
      <c r="X43" s="38">
        <v>5803.69</v>
      </c>
      <c r="Y43" s="39" t="s">
        <v>540</v>
      </c>
      <c r="Z43" s="39" t="s">
        <v>540</v>
      </c>
      <c r="AA43" s="41" t="s">
        <v>540</v>
      </c>
      <c r="AB43" s="42" t="s">
        <v>540</v>
      </c>
      <c r="AC43" s="40"/>
      <c r="AD43" s="43">
        <v>1487.875</v>
      </c>
      <c r="AE43" s="39" t="s">
        <v>539</v>
      </c>
      <c r="AF43" s="39">
        <v>17.727463345544891</v>
      </c>
      <c r="AG43" s="43" t="s">
        <v>539</v>
      </c>
      <c r="AH43" s="43">
        <v>0</v>
      </c>
      <c r="AI43" s="43">
        <v>1263.83</v>
      </c>
      <c r="AJ43" s="39" t="s">
        <v>539</v>
      </c>
      <c r="AK43" s="39" t="s">
        <v>539</v>
      </c>
      <c r="AL43" s="44"/>
      <c r="AM43" s="43">
        <v>1487.875</v>
      </c>
      <c r="AN43" s="39" t="s">
        <v>539</v>
      </c>
      <c r="AO43" s="39">
        <v>18.379386889654459</v>
      </c>
      <c r="AP43" s="43" t="s">
        <v>539</v>
      </c>
      <c r="AQ43" s="43">
        <v>0</v>
      </c>
      <c r="AR43" s="43">
        <v>1256.8699999999999</v>
      </c>
      <c r="AS43" s="39" t="s">
        <v>539</v>
      </c>
      <c r="AT43" s="39" t="s">
        <v>539</v>
      </c>
      <c r="AU43" s="1">
        <v>140993.32506395501</v>
      </c>
    </row>
    <row r="44" spans="2:47" ht="18" customHeight="1" x14ac:dyDescent="0.25">
      <c r="B44" s="2">
        <f>IF(G44=$B$6,MAX(B$7:B43)+1,IF($B$6="Nifty 500 - All Sector",B43+1,0))</f>
        <v>0</v>
      </c>
      <c r="C44" s="36">
        <v>23412</v>
      </c>
      <c r="D44" s="36" t="s">
        <v>63</v>
      </c>
      <c r="E44" s="36" t="s">
        <v>527</v>
      </c>
      <c r="F44" s="36" t="s">
        <v>578</v>
      </c>
      <c r="G44" s="36" t="s">
        <v>2</v>
      </c>
      <c r="H44" s="36" t="s">
        <v>529</v>
      </c>
      <c r="I44" s="37">
        <v>46135</v>
      </c>
      <c r="J44" s="38">
        <v>449.66666666666669</v>
      </c>
      <c r="K44" s="39">
        <v>20.680246549117488</v>
      </c>
      <c r="L44" s="39">
        <v>-12.482159076164512</v>
      </c>
      <c r="M44" s="38" t="s">
        <v>539</v>
      </c>
      <c r="N44" s="38">
        <v>372.61</v>
      </c>
      <c r="O44" s="38">
        <v>513.79999999999995</v>
      </c>
      <c r="P44" s="39" t="s">
        <v>540</v>
      </c>
      <c r="Q44" s="39" t="s">
        <v>540</v>
      </c>
      <c r="R44" s="40"/>
      <c r="S44" s="38" t="s">
        <v>539</v>
      </c>
      <c r="T44" s="39" t="s">
        <v>540</v>
      </c>
      <c r="U44" s="39" t="s">
        <v>540</v>
      </c>
      <c r="V44" s="38" t="s">
        <v>539</v>
      </c>
      <c r="W44" s="38">
        <v>0</v>
      </c>
      <c r="X44" s="38">
        <v>0</v>
      </c>
      <c r="Y44" s="39" t="s">
        <v>540</v>
      </c>
      <c r="Z44" s="39" t="s">
        <v>540</v>
      </c>
      <c r="AA44" s="41" t="s">
        <v>540</v>
      </c>
      <c r="AB44" s="42" t="s">
        <v>540</v>
      </c>
      <c r="AC44" s="40"/>
      <c r="AD44" s="43">
        <v>159.48330000000001</v>
      </c>
      <c r="AE44" s="39">
        <v>56.37150701049125</v>
      </c>
      <c r="AF44" s="39">
        <v>15.726942892388074</v>
      </c>
      <c r="AG44" s="43" t="s">
        <v>540</v>
      </c>
      <c r="AH44" s="43">
        <v>101.99</v>
      </c>
      <c r="AI44" s="43">
        <v>137.81</v>
      </c>
      <c r="AJ44" s="39" t="s">
        <v>539</v>
      </c>
      <c r="AK44" s="39" t="s">
        <v>539</v>
      </c>
      <c r="AL44" s="44"/>
      <c r="AM44" s="43">
        <v>159.48330000000001</v>
      </c>
      <c r="AN44" s="39">
        <v>82.349988566201731</v>
      </c>
      <c r="AO44" s="39">
        <v>31.837067041415246</v>
      </c>
      <c r="AP44" s="43" t="s">
        <v>539</v>
      </c>
      <c r="AQ44" s="43">
        <v>87.46</v>
      </c>
      <c r="AR44" s="43">
        <v>120.97</v>
      </c>
      <c r="AS44" s="39" t="s">
        <v>539</v>
      </c>
      <c r="AT44" s="39" t="s">
        <v>539</v>
      </c>
      <c r="AU44" s="1">
        <v>12969.044523549999</v>
      </c>
    </row>
    <row r="45" spans="2:47" ht="18" customHeight="1" x14ac:dyDescent="0.25">
      <c r="B45" s="2">
        <f>IF(G45=$B$6,MAX(B$7:B44)+1,IF($B$6="Nifty 500 - All Sector",B44+1,0))</f>
        <v>10</v>
      </c>
      <c r="C45" s="36">
        <v>2806</v>
      </c>
      <c r="D45" s="36" t="s">
        <v>64</v>
      </c>
      <c r="E45" s="36" t="s">
        <v>527</v>
      </c>
      <c r="F45" s="36" t="s">
        <v>579</v>
      </c>
      <c r="G45" s="36" t="s">
        <v>531</v>
      </c>
      <c r="H45" s="36" t="s">
        <v>532</v>
      </c>
      <c r="I45" s="37">
        <v>46135</v>
      </c>
      <c r="J45" s="38">
        <v>46005.264000000003</v>
      </c>
      <c r="K45" s="39">
        <v>12.413595601710448</v>
      </c>
      <c r="L45" s="39">
        <v>1.1571582488621113</v>
      </c>
      <c r="M45" s="38" t="s">
        <v>539</v>
      </c>
      <c r="N45" s="38">
        <v>40925</v>
      </c>
      <c r="O45" s="38">
        <v>45479</v>
      </c>
      <c r="P45" s="39" t="s">
        <v>540</v>
      </c>
      <c r="Q45" s="39" t="s">
        <v>540</v>
      </c>
      <c r="R45" s="40"/>
      <c r="S45" s="38">
        <v>10900.809090909092</v>
      </c>
      <c r="T45" s="39">
        <v>23.694699569399475</v>
      </c>
      <c r="U45" s="39">
        <v>-43.236212882899139</v>
      </c>
      <c r="V45" s="38" t="s">
        <v>539</v>
      </c>
      <c r="W45" s="38">
        <v>9874</v>
      </c>
      <c r="X45" s="38">
        <v>10634</v>
      </c>
      <c r="Y45" s="39" t="s">
        <v>540</v>
      </c>
      <c r="Z45" s="39" t="s">
        <v>540</v>
      </c>
      <c r="AA45" s="41" t="s">
        <v>540</v>
      </c>
      <c r="AB45" s="42" t="s">
        <v>540</v>
      </c>
      <c r="AC45" s="40"/>
      <c r="AD45" s="43">
        <v>7483.4157999999998</v>
      </c>
      <c r="AE45" s="39">
        <v>6.3287269110542832</v>
      </c>
      <c r="AF45" s="39">
        <v>12.262463246324629</v>
      </c>
      <c r="AG45" s="43" t="s">
        <v>539</v>
      </c>
      <c r="AH45" s="43">
        <v>7038</v>
      </c>
      <c r="AI45" s="43">
        <v>6666</v>
      </c>
      <c r="AJ45" s="39" t="s">
        <v>539</v>
      </c>
      <c r="AK45" s="39" t="s">
        <v>539</v>
      </c>
      <c r="AL45" s="44"/>
      <c r="AM45" s="43">
        <v>7483.4157999999998</v>
      </c>
      <c r="AN45" s="39">
        <v>6.4043196360016985</v>
      </c>
      <c r="AO45" s="39">
        <v>12.464920348662446</v>
      </c>
      <c r="AP45" s="43" t="s">
        <v>539</v>
      </c>
      <c r="AQ45" s="43">
        <v>7033</v>
      </c>
      <c r="AR45" s="43">
        <v>6654</v>
      </c>
      <c r="AS45" s="39" t="s">
        <v>539</v>
      </c>
      <c r="AT45" s="39" t="s">
        <v>539</v>
      </c>
      <c r="AU45" s="1">
        <v>529339.96342707996</v>
      </c>
    </row>
    <row r="46" spans="2:47" ht="18" customHeight="1" x14ac:dyDescent="0.25">
      <c r="B46" s="2">
        <f>IF(G46=$B$6,MAX(B$7:B45)+1,IF($B$6="Nifty 500 - All Sector",B45+1,0))</f>
        <v>11</v>
      </c>
      <c r="C46" s="36">
        <v>18105</v>
      </c>
      <c r="D46" s="36" t="s">
        <v>65</v>
      </c>
      <c r="E46" s="36" t="s">
        <v>527</v>
      </c>
      <c r="F46" s="36" t="s">
        <v>580</v>
      </c>
      <c r="G46" s="36" t="s">
        <v>531</v>
      </c>
      <c r="H46" s="36" t="s">
        <v>532</v>
      </c>
      <c r="I46" s="37">
        <v>46135</v>
      </c>
      <c r="J46" s="38">
        <v>11163.113636363636</v>
      </c>
      <c r="K46" s="39">
        <v>14.239217703814443</v>
      </c>
      <c r="L46" s="39">
        <v>3.5443246114797988</v>
      </c>
      <c r="M46" s="38" t="s">
        <v>539</v>
      </c>
      <c r="N46" s="38">
        <v>9771.7000000000007</v>
      </c>
      <c r="O46" s="38">
        <v>10781</v>
      </c>
      <c r="P46" s="39" t="s">
        <v>540</v>
      </c>
      <c r="Q46" s="39" t="s">
        <v>540</v>
      </c>
      <c r="R46" s="40"/>
      <c r="S46" s="38">
        <v>1988.175</v>
      </c>
      <c r="T46" s="39">
        <v>17.810219126709921</v>
      </c>
      <c r="U46" s="39">
        <v>147.5292757705553</v>
      </c>
      <c r="V46" s="38" t="s">
        <v>539</v>
      </c>
      <c r="W46" s="38">
        <v>1596.2</v>
      </c>
      <c r="X46" s="38">
        <v>2002.7</v>
      </c>
      <c r="Y46" s="39" t="s">
        <v>540</v>
      </c>
      <c r="Z46" s="39" t="s">
        <v>540</v>
      </c>
      <c r="AA46" s="41" t="s">
        <v>540</v>
      </c>
      <c r="AB46" s="42" t="s">
        <v>540</v>
      </c>
      <c r="AC46" s="40"/>
      <c r="AD46" s="43">
        <v>1399.3421000000001</v>
      </c>
      <c r="AE46" s="39">
        <v>23.989199007620066</v>
      </c>
      <c r="AF46" s="39">
        <v>45.82556273447269</v>
      </c>
      <c r="AG46" s="43" t="s">
        <v>539</v>
      </c>
      <c r="AH46" s="43">
        <v>1128.5999999999999</v>
      </c>
      <c r="AI46" s="43">
        <v>959.6</v>
      </c>
      <c r="AJ46" s="39" t="s">
        <v>539</v>
      </c>
      <c r="AK46" s="39" t="s">
        <v>539</v>
      </c>
      <c r="AL46" s="44"/>
      <c r="AM46" s="43">
        <v>1399.3421000000001</v>
      </c>
      <c r="AN46" s="39">
        <v>24.000186087727073</v>
      </c>
      <c r="AO46" s="39">
        <v>44.172893055841755</v>
      </c>
      <c r="AP46" s="43" t="s">
        <v>539</v>
      </c>
      <c r="AQ46" s="43">
        <v>1128.5</v>
      </c>
      <c r="AR46" s="43">
        <v>970.6</v>
      </c>
      <c r="AS46" s="39" t="s">
        <v>539</v>
      </c>
      <c r="AT46" s="39" t="s">
        <v>539</v>
      </c>
      <c r="AU46" s="1">
        <v>137436.51401633999</v>
      </c>
    </row>
    <row r="47" spans="2:47" ht="18" customHeight="1" x14ac:dyDescent="0.25">
      <c r="B47" s="2">
        <f>IF(G47=$B$6,MAX(B$7:B46)+1,IF($B$6="Nifty 500 - All Sector",B46+1,0))</f>
        <v>12</v>
      </c>
      <c r="C47" s="36">
        <v>13660</v>
      </c>
      <c r="D47" s="36" t="s">
        <v>66</v>
      </c>
      <c r="E47" s="36" t="s">
        <v>527</v>
      </c>
      <c r="F47" s="36" t="s">
        <v>581</v>
      </c>
      <c r="G47" s="36" t="s">
        <v>531</v>
      </c>
      <c r="H47" s="36" t="s">
        <v>529</v>
      </c>
      <c r="I47" s="37">
        <v>46135</v>
      </c>
      <c r="J47" s="38">
        <v>1831.875</v>
      </c>
      <c r="K47" s="39">
        <v>-4.0501257071024588</v>
      </c>
      <c r="L47" s="39">
        <v>-0.89937787395185653</v>
      </c>
      <c r="M47" s="38" t="s">
        <v>539</v>
      </c>
      <c r="N47" s="38">
        <v>1909.2</v>
      </c>
      <c r="O47" s="38">
        <v>1848.5</v>
      </c>
      <c r="P47" s="39" t="s">
        <v>540</v>
      </c>
      <c r="Q47" s="39" t="s">
        <v>540</v>
      </c>
      <c r="R47" s="40"/>
      <c r="S47" s="38">
        <v>280.33749999999998</v>
      </c>
      <c r="T47" s="39">
        <v>15.303309450699418</v>
      </c>
      <c r="U47" s="39">
        <v>-55.149884596934129</v>
      </c>
      <c r="V47" s="38" t="s">
        <v>539</v>
      </c>
      <c r="W47" s="38">
        <v>302.7</v>
      </c>
      <c r="X47" s="38">
        <v>237.2</v>
      </c>
      <c r="Y47" s="39" t="s">
        <v>540</v>
      </c>
      <c r="Z47" s="39" t="s">
        <v>540</v>
      </c>
      <c r="AA47" s="41" t="s">
        <v>540</v>
      </c>
      <c r="AB47" s="42" t="s">
        <v>540</v>
      </c>
      <c r="AC47" s="40"/>
      <c r="AD47" s="43">
        <v>166.60910000000001</v>
      </c>
      <c r="AE47" s="39">
        <v>-12.587040923399783</v>
      </c>
      <c r="AF47" s="39">
        <v>67.446331658291456</v>
      </c>
      <c r="AG47" s="43" t="s">
        <v>539</v>
      </c>
      <c r="AH47" s="43">
        <v>190.6</v>
      </c>
      <c r="AI47" s="43">
        <v>99.5</v>
      </c>
      <c r="AJ47" s="39" t="s">
        <v>539</v>
      </c>
      <c r="AK47" s="39" t="s">
        <v>539</v>
      </c>
      <c r="AL47" s="44"/>
      <c r="AM47" s="43">
        <v>166.60910000000001</v>
      </c>
      <c r="AN47" s="39">
        <v>-2.2247065727699522</v>
      </c>
      <c r="AO47" s="39">
        <v>81.491394335511998</v>
      </c>
      <c r="AP47" s="43" t="s">
        <v>539</v>
      </c>
      <c r="AQ47" s="43">
        <v>170.4</v>
      </c>
      <c r="AR47" s="43">
        <v>91.8</v>
      </c>
      <c r="AS47" s="39" t="s">
        <v>539</v>
      </c>
      <c r="AT47" s="39" t="s">
        <v>539</v>
      </c>
      <c r="AU47" s="1">
        <v>10694.22870218</v>
      </c>
    </row>
    <row r="48" spans="2:47" ht="18" customHeight="1" x14ac:dyDescent="0.25">
      <c r="B48" s="2">
        <f>IF(G48=$B$6,MAX(B$7:B47)+1,IF($B$6="Nifty 500 - All Sector",B47+1,0))</f>
        <v>0</v>
      </c>
      <c r="C48" s="36">
        <v>43</v>
      </c>
      <c r="D48" s="36" t="s">
        <v>67</v>
      </c>
      <c r="E48" s="36" t="s">
        <v>527</v>
      </c>
      <c r="F48" s="36" t="s">
        <v>582</v>
      </c>
      <c r="G48" s="36" t="s">
        <v>583</v>
      </c>
      <c r="H48" s="36" t="s">
        <v>529</v>
      </c>
      <c r="I48" s="37">
        <v>46136</v>
      </c>
      <c r="J48" s="38">
        <v>1565.425</v>
      </c>
      <c r="K48" s="39">
        <v>7.8383759058719749</v>
      </c>
      <c r="L48" s="39">
        <v>-0.52077375732387798</v>
      </c>
      <c r="M48" s="38" t="s">
        <v>539</v>
      </c>
      <c r="N48" s="38">
        <v>1451.64</v>
      </c>
      <c r="O48" s="38">
        <v>1573.62</v>
      </c>
      <c r="P48" s="39" t="s">
        <v>540</v>
      </c>
      <c r="Q48" s="39" t="s">
        <v>540</v>
      </c>
      <c r="R48" s="40"/>
      <c r="S48" s="38">
        <v>274.85000000000002</v>
      </c>
      <c r="T48" s="39">
        <v>17.557532299535271</v>
      </c>
      <c r="U48" s="39">
        <v>220.04189656508368</v>
      </c>
      <c r="V48" s="38" t="s">
        <v>539</v>
      </c>
      <c r="W48" s="38">
        <v>222.93</v>
      </c>
      <c r="X48" s="38">
        <v>247.06</v>
      </c>
      <c r="Y48" s="39" t="s">
        <v>540</v>
      </c>
      <c r="Z48" s="39" t="s">
        <v>540</v>
      </c>
      <c r="AA48" s="41" t="s">
        <v>540</v>
      </c>
      <c r="AB48" s="42" t="s">
        <v>540</v>
      </c>
      <c r="AC48" s="40"/>
      <c r="AD48" s="43">
        <v>167.92500000000001</v>
      </c>
      <c r="AE48" s="39">
        <v>30.640267620974026</v>
      </c>
      <c r="AF48" s="39">
        <v>3.5232106528574114</v>
      </c>
      <c r="AG48" s="43" t="s">
        <v>539</v>
      </c>
      <c r="AH48" s="43">
        <v>128.54</v>
      </c>
      <c r="AI48" s="43">
        <v>162.21</v>
      </c>
      <c r="AJ48" s="39" t="s">
        <v>539</v>
      </c>
      <c r="AK48" s="39" t="s">
        <v>539</v>
      </c>
      <c r="AL48" s="44"/>
      <c r="AM48" s="43">
        <v>167.92500000000001</v>
      </c>
      <c r="AN48" s="39">
        <v>32.747035573122531</v>
      </c>
      <c r="AO48" s="39">
        <v>4.4699514744307667</v>
      </c>
      <c r="AP48" s="43" t="s">
        <v>539</v>
      </c>
      <c r="AQ48" s="43">
        <v>126.5</v>
      </c>
      <c r="AR48" s="43">
        <v>160.74</v>
      </c>
      <c r="AS48" s="39" t="s">
        <v>539</v>
      </c>
      <c r="AT48" s="39" t="s">
        <v>539</v>
      </c>
      <c r="AU48" s="1">
        <v>19302.750621874999</v>
      </c>
    </row>
    <row r="49" spans="2:47" ht="18" customHeight="1" x14ac:dyDescent="0.25">
      <c r="B49" s="2">
        <f>IF(G49=$B$6,MAX(B$7:B48)+1,IF($B$6="Nifty 500 - All Sector",B48+1,0))</f>
        <v>0</v>
      </c>
      <c r="C49" s="36">
        <v>3608</v>
      </c>
      <c r="D49" s="36" t="s">
        <v>68</v>
      </c>
      <c r="E49" s="36" t="s">
        <v>533</v>
      </c>
      <c r="F49" s="36" t="s">
        <v>584</v>
      </c>
      <c r="G49" s="36" t="s">
        <v>583</v>
      </c>
      <c r="H49" s="36" t="s">
        <v>529</v>
      </c>
      <c r="I49" s="37">
        <v>46136</v>
      </c>
      <c r="J49" s="38" t="s">
        <v>539</v>
      </c>
      <c r="K49" s="39" t="s">
        <v>540</v>
      </c>
      <c r="L49" s="39" t="s">
        <v>540</v>
      </c>
      <c r="M49" s="38" t="s">
        <v>539</v>
      </c>
      <c r="N49" s="38">
        <v>1539.019</v>
      </c>
      <c r="O49" s="38">
        <v>1264.69</v>
      </c>
      <c r="P49" s="39" t="s">
        <v>540</v>
      </c>
      <c r="Q49" s="39" t="s">
        <v>540</v>
      </c>
      <c r="R49" s="40"/>
      <c r="S49" s="38" t="s">
        <v>539</v>
      </c>
      <c r="T49" s="39" t="s">
        <v>540</v>
      </c>
      <c r="U49" s="39" t="s">
        <v>540</v>
      </c>
      <c r="V49" s="38" t="s">
        <v>539</v>
      </c>
      <c r="W49" s="38">
        <v>144.63</v>
      </c>
      <c r="X49" s="38">
        <v>69.272000000000304</v>
      </c>
      <c r="Y49" s="39" t="s">
        <v>540</v>
      </c>
      <c r="Z49" s="39" t="s">
        <v>540</v>
      </c>
      <c r="AA49" s="41" t="s">
        <v>540</v>
      </c>
      <c r="AB49" s="42" t="s">
        <v>540</v>
      </c>
      <c r="AC49" s="40"/>
      <c r="AD49" s="43" t="s">
        <v>540</v>
      </c>
      <c r="AE49" s="39" t="s">
        <v>539</v>
      </c>
      <c r="AF49" s="39" t="s">
        <v>539</v>
      </c>
      <c r="AG49" s="43" t="s">
        <v>539</v>
      </c>
      <c r="AH49" s="43">
        <v>106.887</v>
      </c>
      <c r="AI49" s="43">
        <v>30.1500000000004</v>
      </c>
      <c r="AJ49" s="39" t="s">
        <v>539</v>
      </c>
      <c r="AK49" s="39" t="s">
        <v>539</v>
      </c>
      <c r="AL49" s="44"/>
      <c r="AM49" s="43" t="s">
        <v>539</v>
      </c>
      <c r="AN49" s="39" t="s">
        <v>539</v>
      </c>
      <c r="AO49" s="39" t="s">
        <v>539</v>
      </c>
      <c r="AP49" s="43" t="s">
        <v>539</v>
      </c>
      <c r="AQ49" s="43">
        <v>106.887</v>
      </c>
      <c r="AR49" s="43">
        <v>30.1500000000004</v>
      </c>
      <c r="AS49" s="39" t="s">
        <v>539</v>
      </c>
      <c r="AT49" s="39" t="s">
        <v>539</v>
      </c>
      <c r="AU49" s="1">
        <v>14434.99361863</v>
      </c>
    </row>
    <row r="50" spans="2:47" ht="18" customHeight="1" x14ac:dyDescent="0.25">
      <c r="B50" s="2">
        <f>IF(G50=$B$6,MAX(B$7:B49)+1,IF($B$6="Nifty 500 - All Sector",B49+1,0))</f>
        <v>0</v>
      </c>
      <c r="C50" s="36">
        <v>70666</v>
      </c>
      <c r="D50" s="36" t="s">
        <v>69</v>
      </c>
      <c r="E50" s="36" t="s">
        <v>527</v>
      </c>
      <c r="F50" s="36" t="s">
        <v>585</v>
      </c>
      <c r="G50" s="36" t="s">
        <v>576</v>
      </c>
      <c r="H50" s="36" t="s">
        <v>532</v>
      </c>
      <c r="I50" s="37">
        <v>46136</v>
      </c>
      <c r="J50" s="38">
        <v>3409</v>
      </c>
      <c r="K50" s="39">
        <v>11.259791122715402</v>
      </c>
      <c r="L50" s="39">
        <v>30.21390374331552</v>
      </c>
      <c r="M50" s="38" t="s">
        <v>539</v>
      </c>
      <c r="N50" s="38">
        <v>3064</v>
      </c>
      <c r="O50" s="38">
        <v>2618</v>
      </c>
      <c r="P50" s="39" t="s">
        <v>540</v>
      </c>
      <c r="Q50" s="39" t="s">
        <v>540</v>
      </c>
      <c r="R50" s="40"/>
      <c r="S50" s="38">
        <v>3199.9</v>
      </c>
      <c r="T50" s="39">
        <v>93.866236432971547</v>
      </c>
      <c r="U50" s="39">
        <v>1605.9447921222202</v>
      </c>
      <c r="V50" s="38" t="s">
        <v>539</v>
      </c>
      <c r="W50" s="38">
        <v>2384</v>
      </c>
      <c r="X50" s="38">
        <v>2241</v>
      </c>
      <c r="Y50" s="39" t="s">
        <v>540</v>
      </c>
      <c r="Z50" s="39" t="s">
        <v>540</v>
      </c>
      <c r="AA50" s="41" t="s">
        <v>540</v>
      </c>
      <c r="AB50" s="42" t="s">
        <v>540</v>
      </c>
      <c r="AC50" s="40"/>
      <c r="AD50" s="43">
        <v>592.20000000000005</v>
      </c>
      <c r="AE50" s="39">
        <v>102.80821917808223</v>
      </c>
      <c r="AF50" s="39" t="s">
        <v>547</v>
      </c>
      <c r="AG50" s="43" t="s">
        <v>539</v>
      </c>
      <c r="AH50" s="43">
        <v>292</v>
      </c>
      <c r="AI50" s="43">
        <v>-98</v>
      </c>
      <c r="AJ50" s="39" t="s">
        <v>539</v>
      </c>
      <c r="AK50" s="39" t="s">
        <v>547</v>
      </c>
      <c r="AL50" s="44"/>
      <c r="AM50" s="43">
        <v>592.20000000000005</v>
      </c>
      <c r="AN50" s="39">
        <v>157.47826086956525</v>
      </c>
      <c r="AO50" s="39" t="s">
        <v>547</v>
      </c>
      <c r="AP50" s="43" t="s">
        <v>539</v>
      </c>
      <c r="AQ50" s="43">
        <v>230</v>
      </c>
      <c r="AR50" s="43">
        <v>-41</v>
      </c>
      <c r="AS50" s="39" t="s">
        <v>539</v>
      </c>
      <c r="AT50" s="39" t="s">
        <v>547</v>
      </c>
      <c r="AU50" s="1">
        <v>180505.79894567499</v>
      </c>
    </row>
    <row r="51" spans="2:47" ht="18" customHeight="1" x14ac:dyDescent="0.25">
      <c r="B51" s="2">
        <f>IF(G51=$B$6,MAX(B$7:B50)+1,IF($B$6="Nifty 500 - All Sector",B50+1,0))</f>
        <v>0</v>
      </c>
      <c r="C51" s="36">
        <v>2339</v>
      </c>
      <c r="D51" s="36" t="s">
        <v>70</v>
      </c>
      <c r="E51" s="36" t="s">
        <v>533</v>
      </c>
      <c r="F51" s="36" t="s">
        <v>586</v>
      </c>
      <c r="G51" s="36" t="s">
        <v>576</v>
      </c>
      <c r="H51" s="36" t="s">
        <v>529</v>
      </c>
      <c r="I51" s="37">
        <v>46136</v>
      </c>
      <c r="J51" s="38" t="s">
        <v>539</v>
      </c>
      <c r="K51" s="39" t="s">
        <v>540</v>
      </c>
      <c r="L51" s="39" t="s">
        <v>540</v>
      </c>
      <c r="M51" s="38" t="s">
        <v>539</v>
      </c>
      <c r="N51" s="38">
        <v>17249.100000000002</v>
      </c>
      <c r="O51" s="38">
        <v>15683.17</v>
      </c>
      <c r="P51" s="39" t="s">
        <v>540</v>
      </c>
      <c r="Q51" s="39" t="s">
        <v>540</v>
      </c>
      <c r="R51" s="40"/>
      <c r="S51" s="38" t="s">
        <v>539</v>
      </c>
      <c r="T51" s="39" t="s">
        <v>540</v>
      </c>
      <c r="U51" s="39" t="s">
        <v>540</v>
      </c>
      <c r="V51" s="38" t="s">
        <v>539</v>
      </c>
      <c r="W51" s="38">
        <v>784.78999999999701</v>
      </c>
      <c r="X51" s="38">
        <v>1477.95</v>
      </c>
      <c r="Y51" s="39" t="s">
        <v>540</v>
      </c>
      <c r="Z51" s="39" t="s">
        <v>540</v>
      </c>
      <c r="AA51" s="41" t="s">
        <v>540</v>
      </c>
      <c r="AB51" s="42" t="s">
        <v>540</v>
      </c>
      <c r="AC51" s="40"/>
      <c r="AD51" s="43" t="s">
        <v>540</v>
      </c>
      <c r="AE51" s="39" t="s">
        <v>539</v>
      </c>
      <c r="AF51" s="39" t="s">
        <v>539</v>
      </c>
      <c r="AG51" s="43" t="s">
        <v>539</v>
      </c>
      <c r="AH51" s="43">
        <v>449.959999999996</v>
      </c>
      <c r="AI51" s="43">
        <v>987.22000000000401</v>
      </c>
      <c r="AJ51" s="39" t="s">
        <v>539</v>
      </c>
      <c r="AK51" s="39" t="s">
        <v>539</v>
      </c>
      <c r="AL51" s="44"/>
      <c r="AM51" s="43" t="s">
        <v>539</v>
      </c>
      <c r="AN51" s="39" t="s">
        <v>539</v>
      </c>
      <c r="AO51" s="39" t="s">
        <v>539</v>
      </c>
      <c r="AP51" s="43" t="s">
        <v>539</v>
      </c>
      <c r="AQ51" s="43">
        <v>449.959999999996</v>
      </c>
      <c r="AR51" s="43">
        <v>987.22000000000401</v>
      </c>
      <c r="AS51" s="39" t="s">
        <v>539</v>
      </c>
      <c r="AT51" s="39" t="s">
        <v>539</v>
      </c>
      <c r="AU51" s="1">
        <v>14469.720738</v>
      </c>
    </row>
    <row r="52" spans="2:47" ht="18" customHeight="1" x14ac:dyDescent="0.25">
      <c r="B52" s="2">
        <f>IF(G52=$B$6,MAX(B$7:B51)+1,IF($B$6="Nifty 500 - All Sector",B51+1,0))</f>
        <v>0</v>
      </c>
      <c r="C52" s="36">
        <v>1745</v>
      </c>
      <c r="D52" s="36" t="s">
        <v>71</v>
      </c>
      <c r="E52" s="36" t="s">
        <v>533</v>
      </c>
      <c r="F52" s="36" t="s">
        <v>587</v>
      </c>
      <c r="G52" s="36" t="s">
        <v>2</v>
      </c>
      <c r="H52" s="36" t="s">
        <v>532</v>
      </c>
      <c r="I52" s="37">
        <v>46136</v>
      </c>
      <c r="J52" s="38">
        <v>7150.7142857142853</v>
      </c>
      <c r="K52" s="39">
        <v>14.774298995131584</v>
      </c>
      <c r="L52" s="39">
        <v>3.5337578379429413</v>
      </c>
      <c r="M52" s="38" t="s">
        <v>539</v>
      </c>
      <c r="N52" s="38">
        <v>6230.24</v>
      </c>
      <c r="O52" s="38">
        <v>6906.65</v>
      </c>
      <c r="P52" s="39" t="s">
        <v>540</v>
      </c>
      <c r="Q52" s="39" t="s">
        <v>540</v>
      </c>
      <c r="R52" s="40"/>
      <c r="S52" s="38" t="s">
        <v>539</v>
      </c>
      <c r="T52" s="39" t="s">
        <v>540</v>
      </c>
      <c r="U52" s="39" t="s">
        <v>540</v>
      </c>
      <c r="V52" s="38" t="s">
        <v>539</v>
      </c>
      <c r="W52" s="38">
        <v>0</v>
      </c>
      <c r="X52" s="38">
        <v>0</v>
      </c>
      <c r="Y52" s="39" t="s">
        <v>540</v>
      </c>
      <c r="Z52" s="39" t="s">
        <v>540</v>
      </c>
      <c r="AA52" s="41" t="s">
        <v>540</v>
      </c>
      <c r="AB52" s="42" t="s">
        <v>540</v>
      </c>
      <c r="AC52" s="40"/>
      <c r="AD52" s="43">
        <v>2720.1882000000001</v>
      </c>
      <c r="AE52" s="39">
        <v>27.147841207073053</v>
      </c>
      <c r="AF52" s="39">
        <v>7.8724892630677168</v>
      </c>
      <c r="AG52" s="43" t="s">
        <v>540</v>
      </c>
      <c r="AH52" s="43">
        <v>2139.39</v>
      </c>
      <c r="AI52" s="43">
        <v>2521.67</v>
      </c>
      <c r="AJ52" s="39" t="s">
        <v>539</v>
      </c>
      <c r="AK52" s="39" t="s">
        <v>539</v>
      </c>
      <c r="AL52" s="44"/>
      <c r="AM52" s="43">
        <v>2720.1882000000001</v>
      </c>
      <c r="AN52" s="39">
        <v>27.147841207073053</v>
      </c>
      <c r="AO52" s="39">
        <v>7.8724892630677168</v>
      </c>
      <c r="AP52" s="43" t="s">
        <v>539</v>
      </c>
      <c r="AQ52" s="43">
        <v>2139.39</v>
      </c>
      <c r="AR52" s="43">
        <v>2521.67</v>
      </c>
      <c r="AS52" s="39" t="s">
        <v>539</v>
      </c>
      <c r="AT52" s="39" t="s">
        <v>539</v>
      </c>
      <c r="AU52" s="1">
        <v>240197.52066246999</v>
      </c>
    </row>
    <row r="53" spans="2:47" ht="18" customHeight="1" x14ac:dyDescent="0.25">
      <c r="B53" s="2">
        <f>IF(G53=$B$6,MAX(B$7:B52)+1,IF($B$6="Nifty 500 - All Sector",B52+1,0))</f>
        <v>0</v>
      </c>
      <c r="C53" s="36">
        <v>41147</v>
      </c>
      <c r="D53" s="36" t="s">
        <v>72</v>
      </c>
      <c r="E53" s="36" t="s">
        <v>527</v>
      </c>
      <c r="F53" s="36" t="s">
        <v>588</v>
      </c>
      <c r="G53" s="36" t="s">
        <v>2</v>
      </c>
      <c r="H53" s="36" t="s">
        <v>535</v>
      </c>
      <c r="I53" s="37">
        <v>46136</v>
      </c>
      <c r="J53" s="38">
        <v>3084.8599999999997</v>
      </c>
      <c r="K53" s="39">
        <v>27.310995464468888</v>
      </c>
      <c r="L53" s="39">
        <v>7.2901486827232187</v>
      </c>
      <c r="M53" s="38" t="s">
        <v>539</v>
      </c>
      <c r="N53" s="38">
        <v>2423.09</v>
      </c>
      <c r="O53" s="38">
        <v>2875.2500000000005</v>
      </c>
      <c r="P53" s="39" t="s">
        <v>540</v>
      </c>
      <c r="Q53" s="39" t="s">
        <v>540</v>
      </c>
      <c r="R53" s="40"/>
      <c r="S53" s="38" t="s">
        <v>539</v>
      </c>
      <c r="T53" s="39" t="s">
        <v>540</v>
      </c>
      <c r="U53" s="39" t="s">
        <v>540</v>
      </c>
      <c r="V53" s="38" t="s">
        <v>539</v>
      </c>
      <c r="W53" s="38">
        <v>0</v>
      </c>
      <c r="X53" s="38">
        <v>0</v>
      </c>
      <c r="Y53" s="39" t="s">
        <v>540</v>
      </c>
      <c r="Z53" s="39" t="s">
        <v>540</v>
      </c>
      <c r="AA53" s="41" t="s">
        <v>540</v>
      </c>
      <c r="AB53" s="42" t="s">
        <v>540</v>
      </c>
      <c r="AC53" s="40"/>
      <c r="AD53" s="43">
        <v>794.4</v>
      </c>
      <c r="AE53" s="39">
        <v>24.93709109209863</v>
      </c>
      <c r="AF53" s="39">
        <v>7.6437350099594736</v>
      </c>
      <c r="AG53" s="43" t="s">
        <v>540</v>
      </c>
      <c r="AH53" s="43">
        <v>635.84</v>
      </c>
      <c r="AI53" s="43">
        <v>737.99</v>
      </c>
      <c r="AJ53" s="39" t="s">
        <v>539</v>
      </c>
      <c r="AK53" s="39" t="s">
        <v>539</v>
      </c>
      <c r="AL53" s="44"/>
      <c r="AM53" s="43">
        <v>794.4</v>
      </c>
      <c r="AN53" s="39">
        <v>24.872282565980797</v>
      </c>
      <c r="AO53" s="39">
        <v>7.5533772897740326</v>
      </c>
      <c r="AP53" s="43" t="s">
        <v>539</v>
      </c>
      <c r="AQ53" s="43">
        <v>636.16999999999996</v>
      </c>
      <c r="AR53" s="43">
        <v>738.61</v>
      </c>
      <c r="AS53" s="39" t="s">
        <v>539</v>
      </c>
      <c r="AT53" s="39" t="s">
        <v>539</v>
      </c>
      <c r="AU53" s="1">
        <v>70382.0423496</v>
      </c>
    </row>
    <row r="54" spans="2:47" ht="18" customHeight="1" x14ac:dyDescent="0.25">
      <c r="B54" s="2">
        <f>IF(G54=$B$6,MAX(B$7:B53)+1,IF($B$6="Nifty 500 - All Sector",B53+1,0))</f>
        <v>0</v>
      </c>
      <c r="C54" s="45">
        <v>5531</v>
      </c>
      <c r="D54" s="45" t="s">
        <v>73</v>
      </c>
      <c r="E54" s="45" t="s">
        <v>533</v>
      </c>
      <c r="F54" s="45" t="s">
        <v>589</v>
      </c>
      <c r="G54" s="45" t="s">
        <v>4</v>
      </c>
      <c r="H54" s="45" t="s">
        <v>535</v>
      </c>
      <c r="I54" s="37">
        <v>46136</v>
      </c>
      <c r="J54" s="46">
        <v>4429.735901276912</v>
      </c>
      <c r="K54" s="39">
        <v>45.316332865655127</v>
      </c>
      <c r="L54" s="39">
        <v>-2.8918066647613871</v>
      </c>
      <c r="M54" s="46" t="s">
        <v>539</v>
      </c>
      <c r="N54" s="46">
        <v>3048.34</v>
      </c>
      <c r="O54" s="46">
        <v>4561.6499999999996</v>
      </c>
      <c r="P54" s="47" t="s">
        <v>540</v>
      </c>
      <c r="Q54" s="47" t="s">
        <v>540</v>
      </c>
      <c r="R54" s="40"/>
      <c r="S54" s="38">
        <v>2412.96</v>
      </c>
      <c r="T54" s="39"/>
      <c r="U54" s="39"/>
      <c r="V54" s="46" t="s">
        <v>539</v>
      </c>
      <c r="W54" s="46">
        <v>-472.51</v>
      </c>
      <c r="X54" s="46">
        <v>2306.7600000000002</v>
      </c>
      <c r="Y54" s="47" t="s">
        <v>540</v>
      </c>
      <c r="Z54" s="47" t="s">
        <v>540</v>
      </c>
      <c r="AA54" s="41" t="s">
        <v>540</v>
      </c>
      <c r="AB54" s="48" t="s">
        <v>540</v>
      </c>
      <c r="AC54" s="40"/>
      <c r="AD54" s="49">
        <v>278.3</v>
      </c>
      <c r="AE54" s="50" t="s">
        <v>547</v>
      </c>
      <c r="AF54" s="50">
        <v>72.685529908165819</v>
      </c>
      <c r="AG54" s="43" t="s">
        <v>540</v>
      </c>
      <c r="AH54" s="43">
        <v>-2235.9899999999998</v>
      </c>
      <c r="AI54" s="43">
        <v>161.16</v>
      </c>
      <c r="AJ54" s="41" t="s">
        <v>547</v>
      </c>
      <c r="AK54" s="41" t="s">
        <v>539</v>
      </c>
      <c r="AL54" s="44"/>
      <c r="AM54" s="49">
        <v>278.3</v>
      </c>
      <c r="AN54" s="50" t="s">
        <v>547</v>
      </c>
      <c r="AO54" s="50">
        <v>72.685529908165819</v>
      </c>
      <c r="AP54" s="43" t="s">
        <v>539</v>
      </c>
      <c r="AQ54" s="43">
        <v>-2235.9899999999998</v>
      </c>
      <c r="AR54" s="43">
        <v>161.16</v>
      </c>
      <c r="AS54" s="41" t="s">
        <v>547</v>
      </c>
      <c r="AT54" s="41" t="s">
        <v>539</v>
      </c>
      <c r="AU54" s="1">
        <v>65433.22513662</v>
      </c>
    </row>
    <row r="55" spans="2:47" ht="18" customHeight="1" x14ac:dyDescent="0.25">
      <c r="B55" s="2">
        <f>IF(G55=$B$6,MAX(B$7:B54)+1,IF($B$6="Nifty 500 - All Sector",B54+1,0))</f>
        <v>0</v>
      </c>
      <c r="C55" s="36">
        <v>270</v>
      </c>
      <c r="D55" s="36" t="s">
        <v>74</v>
      </c>
      <c r="E55" s="36" t="s">
        <v>527</v>
      </c>
      <c r="F55" s="36" t="s">
        <v>590</v>
      </c>
      <c r="G55" s="36" t="s">
        <v>591</v>
      </c>
      <c r="H55" s="36" t="s">
        <v>529</v>
      </c>
      <c r="I55" s="37">
        <v>46137</v>
      </c>
      <c r="J55" s="38" t="s">
        <v>539</v>
      </c>
      <c r="K55" s="39" t="s">
        <v>540</v>
      </c>
      <c r="L55" s="39" t="s">
        <v>540</v>
      </c>
      <c r="M55" s="38" t="s">
        <v>539</v>
      </c>
      <c r="N55" s="38">
        <v>1197.3</v>
      </c>
      <c r="O55" s="38">
        <v>1114.26</v>
      </c>
      <c r="P55" s="39" t="s">
        <v>540</v>
      </c>
      <c r="Q55" s="39" t="s">
        <v>540</v>
      </c>
      <c r="R55" s="40"/>
      <c r="S55" s="38" t="s">
        <v>539</v>
      </c>
      <c r="T55" s="39" t="s">
        <v>540</v>
      </c>
      <c r="U55" s="39" t="s">
        <v>540</v>
      </c>
      <c r="V55" s="38" t="s">
        <v>539</v>
      </c>
      <c r="W55" s="38">
        <v>-2.9899999999999598</v>
      </c>
      <c r="X55" s="38">
        <v>79.059999999999903</v>
      </c>
      <c r="Y55" s="39" t="s">
        <v>540</v>
      </c>
      <c r="Z55" s="39" t="s">
        <v>540</v>
      </c>
      <c r="AA55" s="41" t="s">
        <v>540</v>
      </c>
      <c r="AB55" s="42" t="s">
        <v>540</v>
      </c>
      <c r="AC55" s="40"/>
      <c r="AD55" s="43" t="s">
        <v>540</v>
      </c>
      <c r="AE55" s="39" t="s">
        <v>539</v>
      </c>
      <c r="AF55" s="39" t="s">
        <v>547</v>
      </c>
      <c r="AG55" s="43" t="s">
        <v>539</v>
      </c>
      <c r="AH55" s="43">
        <v>24.600000000000101</v>
      </c>
      <c r="AI55" s="43">
        <v>-2.67000000000015</v>
      </c>
      <c r="AJ55" s="39" t="s">
        <v>539</v>
      </c>
      <c r="AK55" s="39" t="s">
        <v>547</v>
      </c>
      <c r="AL55" s="44"/>
      <c r="AM55" s="43" t="s">
        <v>539</v>
      </c>
      <c r="AN55" s="39" t="s">
        <v>539</v>
      </c>
      <c r="AO55" s="39" t="s">
        <v>547</v>
      </c>
      <c r="AP55" s="43" t="s">
        <v>539</v>
      </c>
      <c r="AQ55" s="43">
        <v>14.68</v>
      </c>
      <c r="AR55" s="43">
        <v>-2.67</v>
      </c>
      <c r="AS55" s="39" t="s">
        <v>539</v>
      </c>
      <c r="AT55" s="39" t="s">
        <v>547</v>
      </c>
      <c r="AU55" s="1">
        <v>12194.45485935</v>
      </c>
    </row>
    <row r="56" spans="2:47" ht="18" customHeight="1" x14ac:dyDescent="0.25">
      <c r="B56" s="2">
        <f>IF(G56=$B$6,MAX(B$7:B55)+1,IF($B$6="Nifty 500 - All Sector",B55+1,0))</f>
        <v>0</v>
      </c>
      <c r="C56" s="36">
        <v>71753</v>
      </c>
      <c r="D56" s="36" t="s">
        <v>75</v>
      </c>
      <c r="E56" s="36" t="s">
        <v>527</v>
      </c>
      <c r="F56" s="36" t="s">
        <v>592</v>
      </c>
      <c r="G56" s="36" t="s">
        <v>2</v>
      </c>
      <c r="H56" s="36" t="s">
        <v>529</v>
      </c>
      <c r="I56" s="37">
        <v>46137</v>
      </c>
      <c r="J56" s="38">
        <v>304.17500000000001</v>
      </c>
      <c r="K56" s="39">
        <v>-15.664604780507553</v>
      </c>
      <c r="L56" s="39">
        <v>-28.524600179525628</v>
      </c>
      <c r="M56" s="38" t="s">
        <v>539</v>
      </c>
      <c r="N56" s="38">
        <v>360.673</v>
      </c>
      <c r="O56" s="38">
        <v>425.56600000000003</v>
      </c>
      <c r="P56" s="39" t="s">
        <v>540</v>
      </c>
      <c r="Q56" s="39" t="s">
        <v>540</v>
      </c>
      <c r="R56" s="40"/>
      <c r="S56" s="38" t="s">
        <v>539</v>
      </c>
      <c r="T56" s="39" t="s">
        <v>540</v>
      </c>
      <c r="U56" s="39" t="s">
        <v>540</v>
      </c>
      <c r="V56" s="38" t="s">
        <v>539</v>
      </c>
      <c r="W56" s="38">
        <v>247.523</v>
      </c>
      <c r="X56" s="38">
        <v>298.54000000000002</v>
      </c>
      <c r="Y56" s="39" t="s">
        <v>540</v>
      </c>
      <c r="Z56" s="39" t="s">
        <v>540</v>
      </c>
      <c r="AA56" s="41" t="s">
        <v>540</v>
      </c>
      <c r="AB56" s="42" t="s">
        <v>540</v>
      </c>
      <c r="AC56" s="40"/>
      <c r="AD56" s="43">
        <v>122.8</v>
      </c>
      <c r="AE56" s="39">
        <v>30.717562777428874</v>
      </c>
      <c r="AF56" s="39">
        <v>4.032531345306678</v>
      </c>
      <c r="AG56" s="43" t="s">
        <v>539</v>
      </c>
      <c r="AH56" s="43">
        <v>93.942999999999998</v>
      </c>
      <c r="AI56" s="43">
        <v>118.04</v>
      </c>
      <c r="AJ56" s="39" t="s">
        <v>539</v>
      </c>
      <c r="AK56" s="39" t="s">
        <v>539</v>
      </c>
      <c r="AL56" s="44"/>
      <c r="AM56" s="43">
        <v>122.8</v>
      </c>
      <c r="AN56" s="39">
        <v>30.717562777428874</v>
      </c>
      <c r="AO56" s="39">
        <v>4.032531345306678</v>
      </c>
      <c r="AP56" s="43" t="s">
        <v>539</v>
      </c>
      <c r="AQ56" s="43">
        <v>93.942999999999998</v>
      </c>
      <c r="AR56" s="43">
        <v>118.04</v>
      </c>
      <c r="AS56" s="39" t="s">
        <v>539</v>
      </c>
      <c r="AT56" s="39" t="s">
        <v>539</v>
      </c>
      <c r="AU56" s="1">
        <v>10533.06346008</v>
      </c>
    </row>
    <row r="57" spans="2:47" ht="18" customHeight="1" x14ac:dyDescent="0.25">
      <c r="B57" s="2">
        <f>IF(G57=$B$6,MAX(B$7:B56)+1,IF($B$6="Nifty 500 - All Sector",B56+1,0))</f>
        <v>0</v>
      </c>
      <c r="C57" s="45">
        <v>54759</v>
      </c>
      <c r="D57" s="45" t="s">
        <v>76</v>
      </c>
      <c r="E57" s="45" t="s">
        <v>533</v>
      </c>
      <c r="F57" s="45" t="s">
        <v>593</v>
      </c>
      <c r="G57" s="45" t="s">
        <v>4</v>
      </c>
      <c r="H57" s="45" t="s">
        <v>535</v>
      </c>
      <c r="I57" s="37">
        <v>46137</v>
      </c>
      <c r="J57" s="46">
        <v>5816.5519886053744</v>
      </c>
      <c r="K57" s="39">
        <v>18.531940849806674</v>
      </c>
      <c r="L57" s="39">
        <v>5.9010565177839647</v>
      </c>
      <c r="M57" s="46" t="s">
        <v>539</v>
      </c>
      <c r="N57" s="46">
        <v>4907.1600000000008</v>
      </c>
      <c r="O57" s="46">
        <v>5492.4400000000005</v>
      </c>
      <c r="P57" s="47" t="s">
        <v>540</v>
      </c>
      <c r="Q57" s="47" t="s">
        <v>540</v>
      </c>
      <c r="R57" s="40"/>
      <c r="S57" s="38">
        <v>2312.5111111111109</v>
      </c>
      <c r="T57" s="39"/>
      <c r="U57" s="39"/>
      <c r="V57" s="46" t="s">
        <v>539</v>
      </c>
      <c r="W57" s="46">
        <v>1811.61</v>
      </c>
      <c r="X57" s="46">
        <v>2033.35</v>
      </c>
      <c r="Y57" s="47" t="s">
        <v>540</v>
      </c>
      <c r="Z57" s="47" t="s">
        <v>540</v>
      </c>
      <c r="AA57" s="41" t="s">
        <v>540</v>
      </c>
      <c r="AB57" s="48" t="s">
        <v>540</v>
      </c>
      <c r="AC57" s="40"/>
      <c r="AD57" s="49">
        <v>713.45</v>
      </c>
      <c r="AE57" s="50">
        <v>134.62575637990005</v>
      </c>
      <c r="AF57" s="50">
        <v>41.968798503601711</v>
      </c>
      <c r="AG57" s="43" t="s">
        <v>540</v>
      </c>
      <c r="AH57" s="43">
        <v>304.08</v>
      </c>
      <c r="AI57" s="43">
        <v>502.54</v>
      </c>
      <c r="AJ57" s="41" t="s">
        <v>539</v>
      </c>
      <c r="AK57" s="41" t="s">
        <v>539</v>
      </c>
      <c r="AL57" s="44"/>
      <c r="AM57" s="49">
        <v>713.45</v>
      </c>
      <c r="AN57" s="50">
        <v>134.62575637990005</v>
      </c>
      <c r="AO57" s="50">
        <v>41.968798503601711</v>
      </c>
      <c r="AP57" s="43" t="s">
        <v>539</v>
      </c>
      <c r="AQ57" s="43">
        <v>304.08</v>
      </c>
      <c r="AR57" s="43">
        <v>502.54</v>
      </c>
      <c r="AS57" s="41" t="s">
        <v>539</v>
      </c>
      <c r="AT57" s="41" t="s">
        <v>539</v>
      </c>
      <c r="AU57" s="1">
        <v>57557.362754759997</v>
      </c>
    </row>
    <row r="58" spans="2:47" ht="18" customHeight="1" x14ac:dyDescent="0.25">
      <c r="B58" s="2">
        <f>IF(G58=$B$6,MAX(B$7:B57)+1,IF($B$6="Nifty 500 - All Sector",B57+1,0))</f>
        <v>0</v>
      </c>
      <c r="C58" s="36">
        <v>13229</v>
      </c>
      <c r="D58" s="36" t="s">
        <v>77</v>
      </c>
      <c r="E58" s="36" t="s">
        <v>533</v>
      </c>
      <c r="F58" s="36" t="s">
        <v>594</v>
      </c>
      <c r="G58" s="36" t="s">
        <v>542</v>
      </c>
      <c r="H58" s="36" t="s">
        <v>529</v>
      </c>
      <c r="I58" s="37">
        <v>46139</v>
      </c>
      <c r="J58" s="38">
        <v>1642</v>
      </c>
      <c r="K58" s="39">
        <v>-2.1924001666229209E-3</v>
      </c>
      <c r="L58" s="39">
        <v>-13.382599397687278</v>
      </c>
      <c r="M58" s="38" t="s">
        <v>539</v>
      </c>
      <c r="N58" s="38">
        <v>1642.0360000000001</v>
      </c>
      <c r="O58" s="38">
        <v>1895.693</v>
      </c>
      <c r="P58" s="39" t="s">
        <v>540</v>
      </c>
      <c r="Q58" s="39" t="s">
        <v>540</v>
      </c>
      <c r="R58" s="40"/>
      <c r="S58" s="38">
        <v>221</v>
      </c>
      <c r="T58" s="39">
        <v>13.45919610231425</v>
      </c>
      <c r="U58" s="39">
        <v>0.13912795210853091</v>
      </c>
      <c r="V58" s="38" t="s">
        <v>539</v>
      </c>
      <c r="W58" s="38">
        <v>220.982</v>
      </c>
      <c r="X58" s="38">
        <v>171.92599999999999</v>
      </c>
      <c r="Y58" s="39" t="s">
        <v>540</v>
      </c>
      <c r="Z58" s="39" t="s">
        <v>540</v>
      </c>
      <c r="AA58" s="41" t="s">
        <v>540</v>
      </c>
      <c r="AB58" s="42" t="s">
        <v>540</v>
      </c>
      <c r="AC58" s="40"/>
      <c r="AD58" s="43">
        <v>244.2</v>
      </c>
      <c r="AE58" s="39">
        <v>-2.006149462229212E-2</v>
      </c>
      <c r="AF58" s="39">
        <v>42.99684376335837</v>
      </c>
      <c r="AG58" s="43" t="s">
        <v>539</v>
      </c>
      <c r="AH58" s="43">
        <v>244.249</v>
      </c>
      <c r="AI58" s="43">
        <v>170.773</v>
      </c>
      <c r="AJ58" s="39" t="s">
        <v>539</v>
      </c>
      <c r="AK58" s="39" t="s">
        <v>539</v>
      </c>
      <c r="AL58" s="44"/>
      <c r="AM58" s="43">
        <v>244.2</v>
      </c>
      <c r="AN58" s="39">
        <v>-2.006149462229212E-2</v>
      </c>
      <c r="AO58" s="39">
        <v>42.99684376335837</v>
      </c>
      <c r="AP58" s="43" t="s">
        <v>539</v>
      </c>
      <c r="AQ58" s="43">
        <v>244.249</v>
      </c>
      <c r="AR58" s="43">
        <v>170.773</v>
      </c>
      <c r="AS58" s="39" t="s">
        <v>539</v>
      </c>
      <c r="AT58" s="39" t="s">
        <v>539</v>
      </c>
      <c r="AU58" s="1">
        <v>29404.352879999999</v>
      </c>
    </row>
    <row r="59" spans="2:47" ht="18" customHeight="1" x14ac:dyDescent="0.25">
      <c r="B59" s="2">
        <f>IF(G59=$B$6,MAX(B$7:B58)+1,IF($B$6="Nifty 500 - All Sector",B58+1,0))</f>
        <v>0</v>
      </c>
      <c r="C59" s="36">
        <v>24951</v>
      </c>
      <c r="D59" s="36" t="s">
        <v>78</v>
      </c>
      <c r="E59" s="36" t="s">
        <v>527</v>
      </c>
      <c r="F59" s="36" t="s">
        <v>595</v>
      </c>
      <c r="G59" s="36" t="s">
        <v>591</v>
      </c>
      <c r="H59" s="36" t="s">
        <v>532</v>
      </c>
      <c r="I59" s="37">
        <v>46139</v>
      </c>
      <c r="J59" s="38">
        <v>25881.035714285717</v>
      </c>
      <c r="K59" s="39">
        <v>12.217303121518142</v>
      </c>
      <c r="L59" s="39">
        <v>18.558933132715261</v>
      </c>
      <c r="M59" s="38" t="s">
        <v>539</v>
      </c>
      <c r="N59" s="38">
        <v>23063.32</v>
      </c>
      <c r="O59" s="38">
        <v>21829.68</v>
      </c>
      <c r="P59" s="39" t="s">
        <v>540</v>
      </c>
      <c r="Q59" s="39" t="s">
        <v>540</v>
      </c>
      <c r="R59" s="40"/>
      <c r="S59" s="38">
        <v>5255.8333333333339</v>
      </c>
      <c r="T59" s="39">
        <v>20.307662302835272</v>
      </c>
      <c r="U59" s="39">
        <v>28.261820684215522</v>
      </c>
      <c r="V59" s="38" t="s">
        <v>539</v>
      </c>
      <c r="W59" s="38">
        <v>4618.4399999999996</v>
      </c>
      <c r="X59" s="38">
        <v>3915.24</v>
      </c>
      <c r="Y59" s="39" t="s">
        <v>540</v>
      </c>
      <c r="Z59" s="39" t="s">
        <v>540</v>
      </c>
      <c r="AA59" s="41" t="s">
        <v>540</v>
      </c>
      <c r="AB59" s="42" t="s">
        <v>540</v>
      </c>
      <c r="AC59" s="40"/>
      <c r="AD59" s="43">
        <v>2822.7714000000001</v>
      </c>
      <c r="AE59" s="39">
        <v>13.566817940423892</v>
      </c>
      <c r="AF59" s="39">
        <v>62.79803450006056</v>
      </c>
      <c r="AG59" s="43" t="s">
        <v>539</v>
      </c>
      <c r="AH59" s="43">
        <v>2485.56</v>
      </c>
      <c r="AI59" s="43">
        <v>1733.91</v>
      </c>
      <c r="AJ59" s="39" t="s">
        <v>539</v>
      </c>
      <c r="AK59" s="39" t="s">
        <v>539</v>
      </c>
      <c r="AL59" s="44"/>
      <c r="AM59" s="43">
        <v>2822.7714000000001</v>
      </c>
      <c r="AN59" s="39">
        <v>13.727877068862714</v>
      </c>
      <c r="AO59" s="39">
        <v>63.600985278775937</v>
      </c>
      <c r="AP59" s="43" t="s">
        <v>539</v>
      </c>
      <c r="AQ59" s="43">
        <v>2482.04</v>
      </c>
      <c r="AR59" s="43">
        <v>1725.4</v>
      </c>
      <c r="AS59" s="39" t="s">
        <v>539</v>
      </c>
      <c r="AT59" s="39" t="s">
        <v>539</v>
      </c>
      <c r="AU59" s="1">
        <v>346830.017287725</v>
      </c>
    </row>
    <row r="60" spans="2:47" ht="18" customHeight="1" x14ac:dyDescent="0.25">
      <c r="B60" s="2">
        <f>IF(G60=$B$6,MAX(B$7:B59)+1,IF($B$6="Nifty 500 - All Sector",B59+1,0))</f>
        <v>0</v>
      </c>
      <c r="C60" s="36">
        <v>39108</v>
      </c>
      <c r="D60" s="36" t="s">
        <v>79</v>
      </c>
      <c r="E60" s="36" t="s">
        <v>527</v>
      </c>
      <c r="F60" s="36" t="s">
        <v>596</v>
      </c>
      <c r="G60" s="36" t="s">
        <v>576</v>
      </c>
      <c r="H60" s="36" t="s">
        <v>535</v>
      </c>
      <c r="I60" s="37">
        <v>46139</v>
      </c>
      <c r="J60" s="38" t="s">
        <v>539</v>
      </c>
      <c r="K60" s="39" t="s">
        <v>540</v>
      </c>
      <c r="L60" s="39" t="s">
        <v>540</v>
      </c>
      <c r="M60" s="38" t="s">
        <v>539</v>
      </c>
      <c r="N60" s="38">
        <v>1341.26</v>
      </c>
      <c r="O60" s="38">
        <v>1507.35</v>
      </c>
      <c r="P60" s="39" t="s">
        <v>540</v>
      </c>
      <c r="Q60" s="39" t="s">
        <v>540</v>
      </c>
      <c r="R60" s="40"/>
      <c r="S60" s="38" t="s">
        <v>539</v>
      </c>
      <c r="T60" s="39" t="s">
        <v>540</v>
      </c>
      <c r="U60" s="39" t="s">
        <v>540</v>
      </c>
      <c r="V60" s="38" t="s">
        <v>539</v>
      </c>
      <c r="W60" s="38">
        <v>266.27</v>
      </c>
      <c r="X60" s="38">
        <v>305.11</v>
      </c>
      <c r="Y60" s="39" t="s">
        <v>540</v>
      </c>
      <c r="Z60" s="39" t="s">
        <v>540</v>
      </c>
      <c r="AA60" s="41" t="s">
        <v>540</v>
      </c>
      <c r="AB60" s="42" t="s">
        <v>540</v>
      </c>
      <c r="AC60" s="40"/>
      <c r="AD60" s="43" t="s">
        <v>540</v>
      </c>
      <c r="AE60" s="39" t="s">
        <v>539</v>
      </c>
      <c r="AF60" s="39" t="s">
        <v>539</v>
      </c>
      <c r="AG60" s="43" t="s">
        <v>539</v>
      </c>
      <c r="AH60" s="43">
        <v>148.4</v>
      </c>
      <c r="AI60" s="43">
        <v>155.94999999999999</v>
      </c>
      <c r="AJ60" s="39" t="s">
        <v>539</v>
      </c>
      <c r="AK60" s="39" t="s">
        <v>539</v>
      </c>
      <c r="AL60" s="44"/>
      <c r="AM60" s="43" t="s">
        <v>539</v>
      </c>
      <c r="AN60" s="39" t="s">
        <v>539</v>
      </c>
      <c r="AO60" s="39" t="s">
        <v>539</v>
      </c>
      <c r="AP60" s="43" t="s">
        <v>539</v>
      </c>
      <c r="AQ60" s="43">
        <v>154.59</v>
      </c>
      <c r="AR60" s="43">
        <v>158.65</v>
      </c>
      <c r="AS60" s="39" t="s">
        <v>539</v>
      </c>
      <c r="AT60" s="39" t="s">
        <v>539</v>
      </c>
      <c r="AU60" s="1">
        <v>64432.373712555003</v>
      </c>
    </row>
    <row r="61" spans="2:47" ht="18" customHeight="1" x14ac:dyDescent="0.25">
      <c r="B61" s="2">
        <f>IF(G61=$B$6,MAX(B$7:B60)+1,IF($B$6="Nifty 500 - All Sector",B60+1,0))</f>
        <v>0</v>
      </c>
      <c r="C61" s="36">
        <v>67886</v>
      </c>
      <c r="D61" s="36" t="s">
        <v>80</v>
      </c>
      <c r="E61" s="36" t="s">
        <v>533</v>
      </c>
      <c r="F61" s="36" t="s">
        <v>597</v>
      </c>
      <c r="G61" s="36" t="s">
        <v>2</v>
      </c>
      <c r="H61" s="36" t="s">
        <v>535</v>
      </c>
      <c r="I61" s="37">
        <v>46139</v>
      </c>
      <c r="J61" s="38">
        <v>1082.5999999999999</v>
      </c>
      <c r="K61" s="39">
        <v>13.12080081084186</v>
      </c>
      <c r="L61" s="39">
        <v>-6.0585550406969668</v>
      </c>
      <c r="M61" s="38" t="s">
        <v>539</v>
      </c>
      <c r="N61" s="38">
        <v>957.03</v>
      </c>
      <c r="O61" s="38">
        <v>1152.4199999999998</v>
      </c>
      <c r="P61" s="39" t="s">
        <v>540</v>
      </c>
      <c r="Q61" s="39" t="s">
        <v>540</v>
      </c>
      <c r="R61" s="40"/>
      <c r="S61" s="38" t="s">
        <v>539</v>
      </c>
      <c r="T61" s="39" t="s">
        <v>540</v>
      </c>
      <c r="U61" s="39" t="s">
        <v>540</v>
      </c>
      <c r="V61" s="38" t="s">
        <v>539</v>
      </c>
      <c r="W61" s="38">
        <v>0</v>
      </c>
      <c r="X61" s="38">
        <v>0</v>
      </c>
      <c r="Y61" s="39" t="s">
        <v>540</v>
      </c>
      <c r="Z61" s="39" t="s">
        <v>540</v>
      </c>
      <c r="AA61" s="41" t="s">
        <v>540</v>
      </c>
      <c r="AB61" s="42" t="s">
        <v>540</v>
      </c>
      <c r="AC61" s="40"/>
      <c r="AD61" s="43">
        <v>678.75</v>
      </c>
      <c r="AE61" s="39">
        <v>15.69339333196973</v>
      </c>
      <c r="AF61" s="39">
        <v>2.0845553399810424</v>
      </c>
      <c r="AG61" s="43" t="s">
        <v>540</v>
      </c>
      <c r="AH61" s="43">
        <v>586.67999999999995</v>
      </c>
      <c r="AI61" s="43">
        <v>664.89</v>
      </c>
      <c r="AJ61" s="39" t="s">
        <v>539</v>
      </c>
      <c r="AK61" s="39" t="s">
        <v>539</v>
      </c>
      <c r="AL61" s="44"/>
      <c r="AM61" s="43">
        <v>678.75</v>
      </c>
      <c r="AN61" s="39">
        <v>15.69339333196973</v>
      </c>
      <c r="AO61" s="39">
        <v>2.0845553399810424</v>
      </c>
      <c r="AP61" s="43" t="s">
        <v>539</v>
      </c>
      <c r="AQ61" s="43">
        <v>586.67999999999995</v>
      </c>
      <c r="AR61" s="43">
        <v>664.89</v>
      </c>
      <c r="AS61" s="39" t="s">
        <v>539</v>
      </c>
      <c r="AT61" s="39" t="s">
        <v>539</v>
      </c>
      <c r="AU61" s="1">
        <v>74166.110443718993</v>
      </c>
    </row>
    <row r="62" spans="2:47" ht="18" customHeight="1" x14ac:dyDescent="0.25">
      <c r="B62" s="2">
        <f>IF(G62=$B$6,MAX(B$7:B61)+1,IF($B$6="Nifty 500 - All Sector",B61+1,0))</f>
        <v>0</v>
      </c>
      <c r="C62" s="36">
        <v>12622</v>
      </c>
      <c r="D62" s="36" t="s">
        <v>81</v>
      </c>
      <c r="E62" s="36" t="s">
        <v>527</v>
      </c>
      <c r="F62" s="36" t="s">
        <v>598</v>
      </c>
      <c r="G62" s="36" t="s">
        <v>2</v>
      </c>
      <c r="H62" s="36" t="s">
        <v>535</v>
      </c>
      <c r="I62" s="37">
        <v>46139</v>
      </c>
      <c r="J62" s="38">
        <v>725.30833333333328</v>
      </c>
      <c r="K62" s="39">
        <v>28.024205410621207</v>
      </c>
      <c r="L62" s="39">
        <v>2.839770493042959</v>
      </c>
      <c r="M62" s="38" t="s">
        <v>539</v>
      </c>
      <c r="N62" s="38">
        <v>566.54</v>
      </c>
      <c r="O62" s="38">
        <v>705.28</v>
      </c>
      <c r="P62" s="39" t="s">
        <v>540</v>
      </c>
      <c r="Q62" s="39" t="s">
        <v>540</v>
      </c>
      <c r="R62" s="40"/>
      <c r="S62" s="38">
        <v>464.83333333333331</v>
      </c>
      <c r="T62" s="39">
        <v>64.087686845824194</v>
      </c>
      <c r="U62" s="39">
        <v>-36.848571039426758</v>
      </c>
      <c r="V62" s="38" t="s">
        <v>539</v>
      </c>
      <c r="W62" s="38">
        <v>365.17</v>
      </c>
      <c r="X62" s="38">
        <v>470.12</v>
      </c>
      <c r="Y62" s="39" t="s">
        <v>540</v>
      </c>
      <c r="Z62" s="39" t="s">
        <v>540</v>
      </c>
      <c r="AA62" s="41" t="s">
        <v>540</v>
      </c>
      <c r="AB62" s="42" t="s">
        <v>540</v>
      </c>
      <c r="AC62" s="40"/>
      <c r="AD62" s="43">
        <v>368.23329999999999</v>
      </c>
      <c r="AE62" s="39">
        <v>23.43567310270851</v>
      </c>
      <c r="AF62" s="39">
        <v>-8.7899286634301141</v>
      </c>
      <c r="AG62" s="43" t="s">
        <v>539</v>
      </c>
      <c r="AH62" s="43">
        <v>298.32</v>
      </c>
      <c r="AI62" s="43">
        <v>403.72</v>
      </c>
      <c r="AJ62" s="39" t="s">
        <v>539</v>
      </c>
      <c r="AK62" s="39" t="s">
        <v>539</v>
      </c>
      <c r="AL62" s="44"/>
      <c r="AM62" s="43">
        <v>368.23329999999999</v>
      </c>
      <c r="AN62" s="39">
        <v>23.319926322839901</v>
      </c>
      <c r="AO62" s="39">
        <v>-8.8305768754642244</v>
      </c>
      <c r="AP62" s="43" t="s">
        <v>539</v>
      </c>
      <c r="AQ62" s="43">
        <v>298.60000000000002</v>
      </c>
      <c r="AR62" s="43">
        <v>403.9</v>
      </c>
      <c r="AS62" s="39" t="s">
        <v>539</v>
      </c>
      <c r="AT62" s="39" t="s">
        <v>539</v>
      </c>
      <c r="AU62" s="1">
        <v>60755.023979160003</v>
      </c>
    </row>
    <row r="63" spans="2:47" ht="18" customHeight="1" x14ac:dyDescent="0.25">
      <c r="B63" s="2">
        <f>IF(G63=$B$6,MAX(B$7:B62)+1,IF($B$6="Nifty 500 - All Sector",B62+1,0))</f>
        <v>0</v>
      </c>
      <c r="C63" s="36">
        <v>12019</v>
      </c>
      <c r="D63" s="36" t="s">
        <v>82</v>
      </c>
      <c r="E63" s="36" t="s">
        <v>527</v>
      </c>
      <c r="F63" s="36" t="s">
        <v>599</v>
      </c>
      <c r="G63" s="36" t="s">
        <v>600</v>
      </c>
      <c r="H63" s="36" t="s">
        <v>532</v>
      </c>
      <c r="I63" s="37">
        <v>46139</v>
      </c>
      <c r="J63" s="38">
        <v>38350.949999999997</v>
      </c>
      <c r="K63" s="39">
        <v>1.3917155370560819</v>
      </c>
      <c r="L63" s="39">
        <v>9.8119956396984342</v>
      </c>
      <c r="M63" s="38" t="s">
        <v>539</v>
      </c>
      <c r="N63" s="38">
        <v>37824.54</v>
      </c>
      <c r="O63" s="38">
        <v>34924.19</v>
      </c>
      <c r="P63" s="39" t="s">
        <v>540</v>
      </c>
      <c r="Q63" s="39" t="s">
        <v>540</v>
      </c>
      <c r="R63" s="40"/>
      <c r="S63" s="38">
        <v>12737.5</v>
      </c>
      <c r="T63" s="39">
        <v>33.212997331226482</v>
      </c>
      <c r="U63" s="39">
        <v>204.23604906991457</v>
      </c>
      <c r="V63" s="38" t="s">
        <v>539</v>
      </c>
      <c r="W63" s="38">
        <v>11790.15</v>
      </c>
      <c r="X63" s="38">
        <v>9331.26</v>
      </c>
      <c r="Y63" s="39" t="s">
        <v>540</v>
      </c>
      <c r="Z63" s="39" t="s">
        <v>540</v>
      </c>
      <c r="AA63" s="41" t="s">
        <v>540</v>
      </c>
      <c r="AB63" s="42" t="s">
        <v>540</v>
      </c>
      <c r="AC63" s="40"/>
      <c r="AD63" s="43">
        <v>9629.8250000000007</v>
      </c>
      <c r="AE63" s="39">
        <v>2.1862199961798945</v>
      </c>
      <c r="AF63" s="39">
        <v>40.025373698598287</v>
      </c>
      <c r="AG63" s="43" t="s">
        <v>539</v>
      </c>
      <c r="AH63" s="43">
        <v>9423.7999999999993</v>
      </c>
      <c r="AI63" s="43">
        <v>6877.2</v>
      </c>
      <c r="AJ63" s="39" t="s">
        <v>539</v>
      </c>
      <c r="AK63" s="39" t="s">
        <v>539</v>
      </c>
      <c r="AL63" s="44"/>
      <c r="AM63" s="43">
        <v>9629.8250000000007</v>
      </c>
      <c r="AN63" s="39">
        <v>0.26868956957608603</v>
      </c>
      <c r="AO63" s="39">
        <v>34.54267930617749</v>
      </c>
      <c r="AP63" s="43" t="s">
        <v>539</v>
      </c>
      <c r="AQ63" s="43">
        <v>9604.02</v>
      </c>
      <c r="AR63" s="43">
        <v>7157.45</v>
      </c>
      <c r="AS63" s="39" t="s">
        <v>539</v>
      </c>
      <c r="AT63" s="39" t="s">
        <v>539</v>
      </c>
      <c r="AU63" s="1">
        <v>268510.07320739003</v>
      </c>
    </row>
    <row r="64" spans="2:47" ht="18" customHeight="1" x14ac:dyDescent="0.25">
      <c r="B64" s="2">
        <f>IF(G64=$B$6,MAX(B$7:B63)+1,IF($B$6="Nifty 500 - All Sector",B63+1,0))</f>
        <v>0</v>
      </c>
      <c r="C64" s="36">
        <v>541</v>
      </c>
      <c r="D64" s="36" t="s">
        <v>83</v>
      </c>
      <c r="E64" s="36" t="s">
        <v>527</v>
      </c>
      <c r="F64" s="36" t="s">
        <v>601</v>
      </c>
      <c r="G64" s="36" t="s">
        <v>602</v>
      </c>
      <c r="H64" s="36" t="s">
        <v>535</v>
      </c>
      <c r="I64" s="37">
        <v>46139</v>
      </c>
      <c r="J64" s="38">
        <v>3558.7</v>
      </c>
      <c r="K64" s="39">
        <v>17.562527460547649</v>
      </c>
      <c r="L64" s="39">
        <v>32.444341890775362</v>
      </c>
      <c r="M64" s="38" t="s">
        <v>539</v>
      </c>
      <c r="N64" s="38">
        <v>3027.07</v>
      </c>
      <c r="O64" s="38">
        <v>2686.94</v>
      </c>
      <c r="P64" s="39" t="s">
        <v>540</v>
      </c>
      <c r="Q64" s="39" t="s">
        <v>540</v>
      </c>
      <c r="R64" s="40"/>
      <c r="S64" s="38">
        <v>528.7166666666667</v>
      </c>
      <c r="T64" s="39">
        <v>14.857017075523835</v>
      </c>
      <c r="U64" s="39">
        <v>110.5435513154946</v>
      </c>
      <c r="V64" s="38" t="s">
        <v>539</v>
      </c>
      <c r="W64" s="38">
        <v>416.27</v>
      </c>
      <c r="X64" s="38">
        <v>313.8</v>
      </c>
      <c r="Y64" s="39" t="s">
        <v>540</v>
      </c>
      <c r="Z64" s="39" t="s">
        <v>540</v>
      </c>
      <c r="AA64" s="41" t="s">
        <v>540</v>
      </c>
      <c r="AB64" s="42" t="s">
        <v>540</v>
      </c>
      <c r="AC64" s="40"/>
      <c r="AD64" s="43">
        <v>360.95</v>
      </c>
      <c r="AE64" s="39">
        <v>38.199709012941256</v>
      </c>
      <c r="AF64" s="39">
        <v>150.72936926924316</v>
      </c>
      <c r="AG64" s="43" t="s">
        <v>539</v>
      </c>
      <c r="AH64" s="43">
        <v>261.18</v>
      </c>
      <c r="AI64" s="43">
        <v>143.95999999999901</v>
      </c>
      <c r="AJ64" s="39" t="s">
        <v>539</v>
      </c>
      <c r="AK64" s="39" t="s">
        <v>539</v>
      </c>
      <c r="AL64" s="44"/>
      <c r="AM64" s="43">
        <v>360.95</v>
      </c>
      <c r="AN64" s="39">
        <v>22.797169490372184</v>
      </c>
      <c r="AO64" s="39">
        <v>135.34589554671706</v>
      </c>
      <c r="AP64" s="43" t="s">
        <v>539</v>
      </c>
      <c r="AQ64" s="43">
        <v>293.94</v>
      </c>
      <c r="AR64" s="43">
        <v>153.37</v>
      </c>
      <c r="AS64" s="39" t="s">
        <v>539</v>
      </c>
      <c r="AT64" s="39" t="s">
        <v>539</v>
      </c>
      <c r="AU64" s="1">
        <v>48646.210135200003</v>
      </c>
    </row>
    <row r="65" spans="2:47" ht="18" customHeight="1" x14ac:dyDescent="0.25">
      <c r="B65" s="2">
        <f>IF(G65=$B$6,MAX(B$7:B64)+1,IF($B$6="Nifty 500 - All Sector",B64+1,0))</f>
        <v>0</v>
      </c>
      <c r="C65" s="36">
        <v>5496</v>
      </c>
      <c r="D65" s="36" t="s">
        <v>84</v>
      </c>
      <c r="E65" s="36" t="s">
        <v>533</v>
      </c>
      <c r="F65" s="36" t="s">
        <v>603</v>
      </c>
      <c r="G65" s="36" t="s">
        <v>604</v>
      </c>
      <c r="H65" s="36" t="s">
        <v>532</v>
      </c>
      <c r="I65" s="37">
        <v>46140</v>
      </c>
      <c r="J65" s="38">
        <v>49745.85</v>
      </c>
      <c r="K65" s="39">
        <v>22.304407259710167</v>
      </c>
      <c r="L65" s="39">
        <v>-0.29193349568563676</v>
      </c>
      <c r="M65" s="38" t="s">
        <v>539</v>
      </c>
      <c r="N65" s="38">
        <v>40673.800000000003</v>
      </c>
      <c r="O65" s="38">
        <v>49891.5</v>
      </c>
      <c r="P65" s="39" t="s">
        <v>540</v>
      </c>
      <c r="Q65" s="39" t="s">
        <v>540</v>
      </c>
      <c r="R65" s="40"/>
      <c r="S65" s="38">
        <v>5887.7</v>
      </c>
      <c r="T65" s="39">
        <v>11.835560152253906</v>
      </c>
      <c r="U65" s="39">
        <v>135.04321337260095</v>
      </c>
      <c r="V65" s="38" t="s">
        <v>539</v>
      </c>
      <c r="W65" s="38">
        <v>4264.7</v>
      </c>
      <c r="X65" s="38">
        <v>5571.7</v>
      </c>
      <c r="Y65" s="39" t="s">
        <v>540</v>
      </c>
      <c r="Z65" s="39" t="s">
        <v>540</v>
      </c>
      <c r="AA65" s="41" t="s">
        <v>540</v>
      </c>
      <c r="AB65" s="42" t="s">
        <v>540</v>
      </c>
      <c r="AC65" s="40"/>
      <c r="AD65" s="43">
        <v>4186.5</v>
      </c>
      <c r="AE65" s="39">
        <v>12.810217994664663</v>
      </c>
      <c r="AF65" s="39">
        <v>10.345282024248803</v>
      </c>
      <c r="AG65" s="43" t="s">
        <v>539</v>
      </c>
      <c r="AH65" s="43">
        <v>3711.1</v>
      </c>
      <c r="AI65" s="43">
        <v>3794</v>
      </c>
      <c r="AJ65" s="39" t="s">
        <v>539</v>
      </c>
      <c r="AK65" s="39" t="s">
        <v>539</v>
      </c>
      <c r="AL65" s="44"/>
      <c r="AM65" s="43">
        <v>4186.5</v>
      </c>
      <c r="AN65" s="39">
        <v>12.810217994664663</v>
      </c>
      <c r="AO65" s="39">
        <v>10.345282024248803</v>
      </c>
      <c r="AP65" s="43" t="s">
        <v>539</v>
      </c>
      <c r="AQ65" s="43">
        <v>3711.1</v>
      </c>
      <c r="AR65" s="43">
        <v>3794</v>
      </c>
      <c r="AS65" s="39" t="s">
        <v>539</v>
      </c>
      <c r="AT65" s="39" t="s">
        <v>539</v>
      </c>
      <c r="AU65" s="1">
        <v>417682.24754612998</v>
      </c>
    </row>
    <row r="66" spans="2:47" ht="18" customHeight="1" x14ac:dyDescent="0.25">
      <c r="B66" s="2">
        <f>IF(G66=$B$6,MAX(B$7:B65)+1,IF($B$6="Nifty 500 - All Sector",B65+1,0))</f>
        <v>0</v>
      </c>
      <c r="C66" s="36">
        <v>104</v>
      </c>
      <c r="D66" s="36" t="s">
        <v>85</v>
      </c>
      <c r="E66" s="36" t="s">
        <v>527</v>
      </c>
      <c r="F66" s="36" t="s">
        <v>605</v>
      </c>
      <c r="G66" s="36" t="s">
        <v>604</v>
      </c>
      <c r="H66" s="36" t="s">
        <v>529</v>
      </c>
      <c r="I66" s="37">
        <v>46140</v>
      </c>
      <c r="J66" s="38">
        <v>4209.1374999999998</v>
      </c>
      <c r="K66" s="39">
        <v>23.051888254176145</v>
      </c>
      <c r="L66" s="39">
        <v>1.2529919053174687</v>
      </c>
      <c r="M66" s="38" t="s">
        <v>539</v>
      </c>
      <c r="N66" s="38">
        <v>3420.62</v>
      </c>
      <c r="O66" s="38">
        <v>4157.05</v>
      </c>
      <c r="P66" s="39" t="s">
        <v>540</v>
      </c>
      <c r="Q66" s="39" t="s">
        <v>540</v>
      </c>
      <c r="R66" s="40"/>
      <c r="S66" s="38">
        <v>558.77499999999998</v>
      </c>
      <c r="T66" s="39">
        <v>13.275285019793248</v>
      </c>
      <c r="U66" s="39">
        <v>192.99733511483819</v>
      </c>
      <c r="V66" s="38" t="s">
        <v>539</v>
      </c>
      <c r="W66" s="38">
        <v>388.08</v>
      </c>
      <c r="X66" s="38">
        <v>563.35</v>
      </c>
      <c r="Y66" s="39" t="s">
        <v>540</v>
      </c>
      <c r="Z66" s="39" t="s">
        <v>540</v>
      </c>
      <c r="AA66" s="41" t="s">
        <v>540</v>
      </c>
      <c r="AB66" s="42" t="s">
        <v>540</v>
      </c>
      <c r="AC66" s="40"/>
      <c r="AD66" s="43">
        <v>185.97499999999999</v>
      </c>
      <c r="AE66" s="39">
        <v>99.458386958386086</v>
      </c>
      <c r="AF66" s="39">
        <v>23.382870032508475</v>
      </c>
      <c r="AG66" s="43" t="s">
        <v>539</v>
      </c>
      <c r="AH66" s="43">
        <v>93.240000000000407</v>
      </c>
      <c r="AI66" s="43">
        <v>150.72999999999999</v>
      </c>
      <c r="AJ66" s="39" t="s">
        <v>539</v>
      </c>
      <c r="AK66" s="39" t="s">
        <v>539</v>
      </c>
      <c r="AL66" s="44"/>
      <c r="AM66" s="43">
        <v>185.97499999999999</v>
      </c>
      <c r="AN66" s="39">
        <v>86.928334505980501</v>
      </c>
      <c r="AO66" s="39">
        <v>19.390768440649666</v>
      </c>
      <c r="AP66" s="43" t="s">
        <v>539</v>
      </c>
      <c r="AQ66" s="43">
        <v>99.49</v>
      </c>
      <c r="AR66" s="43">
        <v>155.77000000000001</v>
      </c>
      <c r="AS66" s="39" t="s">
        <v>539</v>
      </c>
      <c r="AT66" s="39" t="s">
        <v>539</v>
      </c>
      <c r="AU66" s="1">
        <v>14656.48408482</v>
      </c>
    </row>
    <row r="67" spans="2:47" ht="18" customHeight="1" x14ac:dyDescent="0.25">
      <c r="B67" s="2">
        <f>IF(G67=$B$6,MAX(B$7:B66)+1,IF($B$6="Nifty 500 - All Sector",B66+1,0))</f>
        <v>0</v>
      </c>
      <c r="C67" s="36">
        <v>292</v>
      </c>
      <c r="D67" s="36" t="s">
        <v>86</v>
      </c>
      <c r="E67" s="36" t="s">
        <v>533</v>
      </c>
      <c r="F67" s="36" t="s">
        <v>606</v>
      </c>
      <c r="G67" s="36" t="s">
        <v>576</v>
      </c>
      <c r="H67" s="36" t="s">
        <v>529</v>
      </c>
      <c r="I67" s="37">
        <v>46140</v>
      </c>
      <c r="J67" s="38">
        <v>1459.4</v>
      </c>
      <c r="K67" s="39">
        <v>2.6300984528832672</v>
      </c>
      <c r="L67" s="39">
        <v>1.3528529362742292</v>
      </c>
      <c r="M67" s="38" t="s">
        <v>539</v>
      </c>
      <c r="N67" s="38">
        <v>1422</v>
      </c>
      <c r="O67" s="38">
        <v>1439.92</v>
      </c>
      <c r="P67" s="39" t="s">
        <v>540</v>
      </c>
      <c r="Q67" s="39" t="s">
        <v>540</v>
      </c>
      <c r="R67" s="40"/>
      <c r="S67" s="38">
        <v>328.45</v>
      </c>
      <c r="T67" s="39">
        <v>22.505824311360829</v>
      </c>
      <c r="U67" s="39">
        <v>89.119702584746463</v>
      </c>
      <c r="V67" s="38" t="s">
        <v>539</v>
      </c>
      <c r="W67" s="38">
        <v>307.36</v>
      </c>
      <c r="X67" s="38">
        <v>367.84</v>
      </c>
      <c r="Y67" s="39" t="s">
        <v>540</v>
      </c>
      <c r="Z67" s="39" t="s">
        <v>540</v>
      </c>
      <c r="AA67" s="41" t="s">
        <v>540</v>
      </c>
      <c r="AB67" s="42" t="s">
        <v>540</v>
      </c>
      <c r="AC67" s="40"/>
      <c r="AD67" s="43">
        <v>238.75</v>
      </c>
      <c r="AE67" s="39">
        <v>2.265912790199609</v>
      </c>
      <c r="AF67" s="39">
        <v>-2.4195855642293651</v>
      </c>
      <c r="AG67" s="43" t="s">
        <v>539</v>
      </c>
      <c r="AH67" s="43">
        <v>233.46</v>
      </c>
      <c r="AI67" s="43">
        <v>244.67</v>
      </c>
      <c r="AJ67" s="39" t="s">
        <v>539</v>
      </c>
      <c r="AK67" s="39" t="s">
        <v>539</v>
      </c>
      <c r="AL67" s="44"/>
      <c r="AM67" s="43">
        <v>238.75</v>
      </c>
      <c r="AN67" s="39">
        <v>2.265912790199609</v>
      </c>
      <c r="AO67" s="39">
        <v>-2.4195855642293651</v>
      </c>
      <c r="AP67" s="43" t="s">
        <v>539</v>
      </c>
      <c r="AQ67" s="43">
        <v>233.46</v>
      </c>
      <c r="AR67" s="43">
        <v>244.67</v>
      </c>
      <c r="AS67" s="39" t="s">
        <v>539</v>
      </c>
      <c r="AT67" s="39" t="s">
        <v>539</v>
      </c>
      <c r="AU67" s="1">
        <v>17804.202912000001</v>
      </c>
    </row>
    <row r="68" spans="2:47" ht="18" customHeight="1" x14ac:dyDescent="0.25">
      <c r="B68" s="2">
        <f>IF(G68=$B$6,MAX(B$7:B67)+1,IF($B$6="Nifty 500 - All Sector",B67+1,0))</f>
        <v>0</v>
      </c>
      <c r="C68" s="36">
        <v>72780</v>
      </c>
      <c r="D68" s="36" t="s">
        <v>87</v>
      </c>
      <c r="E68" s="36" t="s">
        <v>533</v>
      </c>
      <c r="F68" s="36" t="s">
        <v>607</v>
      </c>
      <c r="G68" s="36" t="s">
        <v>2</v>
      </c>
      <c r="H68" s="36" t="s">
        <v>529</v>
      </c>
      <c r="I68" s="37">
        <v>46140</v>
      </c>
      <c r="J68" s="38">
        <v>2601.6</v>
      </c>
      <c r="K68" s="39">
        <v>15.787740278698802</v>
      </c>
      <c r="L68" s="39">
        <v>20.438311011939202</v>
      </c>
      <c r="M68" s="38" t="s">
        <v>539</v>
      </c>
      <c r="N68" s="38">
        <v>2246.87</v>
      </c>
      <c r="O68" s="38">
        <v>2160.11</v>
      </c>
      <c r="P68" s="39" t="s">
        <v>540</v>
      </c>
      <c r="Q68" s="39" t="s">
        <v>540</v>
      </c>
      <c r="R68" s="40"/>
      <c r="S68" s="38" t="s">
        <v>539</v>
      </c>
      <c r="T68" s="39" t="s">
        <v>540</v>
      </c>
      <c r="U68" s="39" t="s">
        <v>540</v>
      </c>
      <c r="V68" s="38" t="s">
        <v>539</v>
      </c>
      <c r="W68" s="38" t="s">
        <v>540</v>
      </c>
      <c r="X68" s="38" t="s">
        <v>540</v>
      </c>
      <c r="Y68" s="39" t="s">
        <v>540</v>
      </c>
      <c r="Z68" s="39" t="s">
        <v>540</v>
      </c>
      <c r="AA68" s="41" t="s">
        <v>540</v>
      </c>
      <c r="AB68" s="42" t="s">
        <v>540</v>
      </c>
      <c r="AC68" s="40"/>
      <c r="AD68" s="43">
        <v>92.1</v>
      </c>
      <c r="AE68" s="39">
        <v>-20.335611106305684</v>
      </c>
      <c r="AF68" s="39">
        <v>-34.256549361124996</v>
      </c>
      <c r="AG68" s="43" t="s">
        <v>539</v>
      </c>
      <c r="AH68" s="43">
        <v>115.61</v>
      </c>
      <c r="AI68" s="43">
        <v>140.09</v>
      </c>
      <c r="AJ68" s="39" t="s">
        <v>539</v>
      </c>
      <c r="AK68" s="39" t="s">
        <v>539</v>
      </c>
      <c r="AL68" s="44"/>
      <c r="AM68" s="43">
        <v>92.1</v>
      </c>
      <c r="AN68" s="39">
        <v>-20.335611106305684</v>
      </c>
      <c r="AO68" s="39">
        <v>-34.256549361124996</v>
      </c>
      <c r="AP68" s="43" t="s">
        <v>539</v>
      </c>
      <c r="AQ68" s="43">
        <v>115.61</v>
      </c>
      <c r="AR68" s="43">
        <v>140.09</v>
      </c>
      <c r="AS68" s="39" t="s">
        <v>539</v>
      </c>
      <c r="AT68" s="39" t="s">
        <v>539</v>
      </c>
      <c r="AU68" s="1">
        <v>29625.571448395</v>
      </c>
    </row>
    <row r="69" spans="2:47" ht="18" customHeight="1" x14ac:dyDescent="0.25">
      <c r="B69" s="2">
        <f>IF(G69=$B$6,MAX(B$7:B68)+1,IF($B$6="Nifty 500 - All Sector",B68+1,0))</f>
        <v>0</v>
      </c>
      <c r="C69" s="36">
        <v>33760</v>
      </c>
      <c r="D69" s="36" t="s">
        <v>88</v>
      </c>
      <c r="E69" s="36" t="s">
        <v>533</v>
      </c>
      <c r="F69" s="36" t="s">
        <v>608</v>
      </c>
      <c r="G69" s="36" t="s">
        <v>2</v>
      </c>
      <c r="H69" s="36" t="s">
        <v>529</v>
      </c>
      <c r="I69" s="37">
        <v>46140</v>
      </c>
      <c r="J69" s="38">
        <v>4536.9444444444443</v>
      </c>
      <c r="K69" s="39">
        <v>19.446082595580251</v>
      </c>
      <c r="L69" s="39">
        <v>6.7405831971382835</v>
      </c>
      <c r="M69" s="38" t="s">
        <v>539</v>
      </c>
      <c r="N69" s="38">
        <v>3798.32</v>
      </c>
      <c r="O69" s="38">
        <v>4250.4399999999996</v>
      </c>
      <c r="P69" s="39" t="s">
        <v>540</v>
      </c>
      <c r="Q69" s="39" t="s">
        <v>540</v>
      </c>
      <c r="R69" s="40"/>
      <c r="S69" s="38">
        <v>-170.3</v>
      </c>
      <c r="T69" s="39">
        <v>-3.7536276250535732</v>
      </c>
      <c r="U69" s="39" t="s">
        <v>540</v>
      </c>
      <c r="V69" s="38" t="s">
        <v>539</v>
      </c>
      <c r="W69" s="38" t="s">
        <v>540</v>
      </c>
      <c r="X69" s="38" t="s">
        <v>540</v>
      </c>
      <c r="Y69" s="39" t="s">
        <v>540</v>
      </c>
      <c r="Z69" s="39" t="s">
        <v>540</v>
      </c>
      <c r="AA69" s="41" t="s">
        <v>540</v>
      </c>
      <c r="AB69" s="42" t="s">
        <v>540</v>
      </c>
      <c r="AC69" s="40"/>
      <c r="AD69" s="43">
        <v>77.197000000000003</v>
      </c>
      <c r="AE69" s="39">
        <v>15036.666666658029</v>
      </c>
      <c r="AF69" s="39">
        <v>-39.793323974418961</v>
      </c>
      <c r="AG69" s="43" t="s">
        <v>539</v>
      </c>
      <c r="AH69" s="43">
        <v>0.510000000000291</v>
      </c>
      <c r="AI69" s="43">
        <v>128.22</v>
      </c>
      <c r="AJ69" s="39" t="s">
        <v>539</v>
      </c>
      <c r="AK69" s="39" t="s">
        <v>539</v>
      </c>
      <c r="AL69" s="44"/>
      <c r="AM69" s="43">
        <v>77.197000000000003</v>
      </c>
      <c r="AN69" s="39">
        <v>15036.666666658029</v>
      </c>
      <c r="AO69" s="39">
        <v>-39.793323974418961</v>
      </c>
      <c r="AP69" s="43" t="s">
        <v>539</v>
      </c>
      <c r="AQ69" s="43">
        <v>0.510000000000291</v>
      </c>
      <c r="AR69" s="43">
        <v>128.22</v>
      </c>
      <c r="AS69" s="39" t="s">
        <v>539</v>
      </c>
      <c r="AT69" s="39" t="s">
        <v>539</v>
      </c>
      <c r="AU69" s="1">
        <v>28146.44491717</v>
      </c>
    </row>
    <row r="70" spans="2:47" ht="18" customHeight="1" x14ac:dyDescent="0.25">
      <c r="B70" s="2">
        <f>IF(G70=$B$6,MAX(B$7:B69)+1,IF($B$6="Nifty 500 - All Sector",B69+1,0))</f>
        <v>0</v>
      </c>
      <c r="C70" s="45">
        <v>68090</v>
      </c>
      <c r="D70" s="45" t="s">
        <v>89</v>
      </c>
      <c r="E70" s="45" t="s">
        <v>533</v>
      </c>
      <c r="F70" s="45" t="s">
        <v>609</v>
      </c>
      <c r="G70" s="45" t="s">
        <v>4</v>
      </c>
      <c r="H70" s="45" t="s">
        <v>529</v>
      </c>
      <c r="I70" s="37">
        <v>46140</v>
      </c>
      <c r="J70" s="46">
        <v>2859.9443466754446</v>
      </c>
      <c r="K70" s="39">
        <v>3.7754816101712496</v>
      </c>
      <c r="L70" s="39">
        <v>6.3848262034439385</v>
      </c>
      <c r="M70" s="46" t="s">
        <v>539</v>
      </c>
      <c r="N70" s="46">
        <v>2755.8959999999997</v>
      </c>
      <c r="O70" s="46">
        <v>2688.3009999999995</v>
      </c>
      <c r="P70" s="47" t="s">
        <v>540</v>
      </c>
      <c r="Q70" s="47" t="s">
        <v>540</v>
      </c>
      <c r="R70" s="40"/>
      <c r="S70" s="38">
        <v>1528.42</v>
      </c>
      <c r="T70" s="39"/>
      <c r="U70" s="39"/>
      <c r="V70" s="46" t="s">
        <v>539</v>
      </c>
      <c r="W70" s="46">
        <v>1571.3389999999999</v>
      </c>
      <c r="X70" s="46">
        <v>1445.0050000000001</v>
      </c>
      <c r="Y70" s="47" t="s">
        <v>540</v>
      </c>
      <c r="Z70" s="47" t="s">
        <v>540</v>
      </c>
      <c r="AA70" s="41" t="s">
        <v>540</v>
      </c>
      <c r="AB70" s="48" t="s">
        <v>540</v>
      </c>
      <c r="AC70" s="40"/>
      <c r="AD70" s="49">
        <v>410.3</v>
      </c>
      <c r="AE70" s="50">
        <v>29.064119985907698</v>
      </c>
      <c r="AF70" s="50">
        <v>99.570992893657788</v>
      </c>
      <c r="AG70" s="43" t="s">
        <v>540</v>
      </c>
      <c r="AH70" s="43">
        <v>317.904</v>
      </c>
      <c r="AI70" s="43">
        <v>205.59100000000001</v>
      </c>
      <c r="AJ70" s="41" t="s">
        <v>539</v>
      </c>
      <c r="AK70" s="41" t="s">
        <v>539</v>
      </c>
      <c r="AL70" s="44"/>
      <c r="AM70" s="49">
        <v>410.3</v>
      </c>
      <c r="AN70" s="50">
        <v>29.064119985907698</v>
      </c>
      <c r="AO70" s="50">
        <v>99.570992893657788</v>
      </c>
      <c r="AP70" s="43" t="s">
        <v>539</v>
      </c>
      <c r="AQ70" s="43">
        <v>317.904</v>
      </c>
      <c r="AR70" s="43">
        <v>205.59100000000001</v>
      </c>
      <c r="AS70" s="41" t="s">
        <v>539</v>
      </c>
      <c r="AT70" s="41" t="s">
        <v>539</v>
      </c>
      <c r="AU70" s="1">
        <v>27982.698056190002</v>
      </c>
    </row>
    <row r="71" spans="2:47" ht="18" customHeight="1" x14ac:dyDescent="0.25">
      <c r="B71" s="2">
        <f>IF(G71=$B$6,MAX(B$7:B70)+1,IF($B$6="Nifty 500 - All Sector",B70+1,0))</f>
        <v>0</v>
      </c>
      <c r="C71" s="36">
        <v>446</v>
      </c>
      <c r="D71" s="36" t="s">
        <v>90</v>
      </c>
      <c r="E71" s="36" t="s">
        <v>527</v>
      </c>
      <c r="F71" s="36" t="s">
        <v>610</v>
      </c>
      <c r="G71" s="36" t="s">
        <v>604</v>
      </c>
      <c r="H71" s="36" t="s">
        <v>535</v>
      </c>
      <c r="I71" s="37">
        <v>46141</v>
      </c>
      <c r="J71" s="38">
        <v>2595.4</v>
      </c>
      <c r="K71" s="39">
        <v>19.361114049328343</v>
      </c>
      <c r="L71" s="39">
        <v>-4.7279935393876986</v>
      </c>
      <c r="M71" s="38" t="s">
        <v>539</v>
      </c>
      <c r="N71" s="38">
        <v>2174.41</v>
      </c>
      <c r="O71" s="38">
        <v>2724.2</v>
      </c>
      <c r="P71" s="39" t="s">
        <v>540</v>
      </c>
      <c r="Q71" s="39" t="s">
        <v>540</v>
      </c>
      <c r="R71" s="40"/>
      <c r="S71" s="38">
        <v>476.15</v>
      </c>
      <c r="T71" s="39">
        <v>18.345919704091855</v>
      </c>
      <c r="U71" s="39">
        <v>27.940970827690137</v>
      </c>
      <c r="V71" s="38" t="s">
        <v>539</v>
      </c>
      <c r="W71" s="38">
        <v>392.84</v>
      </c>
      <c r="X71" s="38">
        <v>484.12</v>
      </c>
      <c r="Y71" s="39" t="s">
        <v>540</v>
      </c>
      <c r="Z71" s="39" t="s">
        <v>540</v>
      </c>
      <c r="AA71" s="41" t="s">
        <v>540</v>
      </c>
      <c r="AB71" s="42" t="s">
        <v>540</v>
      </c>
      <c r="AC71" s="40"/>
      <c r="AD71" s="43">
        <v>315.85000000000002</v>
      </c>
      <c r="AE71" s="39">
        <v>25.526587711628657</v>
      </c>
      <c r="AF71" s="39">
        <v>-2.0194813252264465</v>
      </c>
      <c r="AG71" s="43" t="s">
        <v>539</v>
      </c>
      <c r="AH71" s="43">
        <v>251.62</v>
      </c>
      <c r="AI71" s="43">
        <v>322.36</v>
      </c>
      <c r="AJ71" s="39" t="s">
        <v>539</v>
      </c>
      <c r="AK71" s="39" t="s">
        <v>539</v>
      </c>
      <c r="AL71" s="44"/>
      <c r="AM71" s="43">
        <v>315.85000000000002</v>
      </c>
      <c r="AN71" s="39">
        <v>25.526587711628657</v>
      </c>
      <c r="AO71" s="39">
        <v>-2.0194813252264465</v>
      </c>
      <c r="AP71" s="43" t="s">
        <v>539</v>
      </c>
      <c r="AQ71" s="43">
        <v>251.62</v>
      </c>
      <c r="AR71" s="43">
        <v>322.36</v>
      </c>
      <c r="AS71" s="39" t="s">
        <v>539</v>
      </c>
      <c r="AT71" s="39" t="s">
        <v>539</v>
      </c>
      <c r="AU71" s="1">
        <v>61616.469750700002</v>
      </c>
    </row>
    <row r="72" spans="2:47" ht="18" customHeight="1" x14ac:dyDescent="0.25">
      <c r="B72" s="2">
        <f>IF(G72=$B$6,MAX(B$7:B71)+1,IF($B$6="Nifty 500 - All Sector",B71+1,0))</f>
        <v>0</v>
      </c>
      <c r="C72" s="36">
        <v>251</v>
      </c>
      <c r="D72" s="36" t="s">
        <v>91</v>
      </c>
      <c r="E72" s="36" t="s">
        <v>527</v>
      </c>
      <c r="F72" s="36" t="s">
        <v>611</v>
      </c>
      <c r="G72" s="36" t="s">
        <v>542</v>
      </c>
      <c r="H72" s="36" t="s">
        <v>529</v>
      </c>
      <c r="I72" s="37">
        <v>46141</v>
      </c>
      <c r="J72" s="38">
        <v>748.7</v>
      </c>
      <c r="K72" s="39">
        <v>38.072844628861226</v>
      </c>
      <c r="L72" s="39">
        <v>14.073712918806081</v>
      </c>
      <c r="M72" s="38" t="s">
        <v>539</v>
      </c>
      <c r="N72" s="38">
        <v>542.25</v>
      </c>
      <c r="O72" s="38">
        <v>656.33</v>
      </c>
      <c r="P72" s="39" t="s">
        <v>540</v>
      </c>
      <c r="Q72" s="39" t="s">
        <v>540</v>
      </c>
      <c r="R72" s="40"/>
      <c r="S72" s="38">
        <v>166.5</v>
      </c>
      <c r="T72" s="39">
        <v>22.238546814478426</v>
      </c>
      <c r="U72" s="39">
        <v>3246.8145707977733</v>
      </c>
      <c r="V72" s="38" t="s">
        <v>539</v>
      </c>
      <c r="W72" s="38">
        <v>-55.47</v>
      </c>
      <c r="X72" s="38">
        <v>142.34</v>
      </c>
      <c r="Y72" s="39" t="s">
        <v>540</v>
      </c>
      <c r="Z72" s="39" t="s">
        <v>540</v>
      </c>
      <c r="AA72" s="41" t="s">
        <v>540</v>
      </c>
      <c r="AB72" s="42" t="s">
        <v>540</v>
      </c>
      <c r="AC72" s="40"/>
      <c r="AD72" s="43">
        <v>230.3</v>
      </c>
      <c r="AE72" s="39" t="s">
        <v>547</v>
      </c>
      <c r="AF72" s="39">
        <v>62.377494183177042</v>
      </c>
      <c r="AG72" s="43" t="s">
        <v>539</v>
      </c>
      <c r="AH72" s="43">
        <v>-63.12</v>
      </c>
      <c r="AI72" s="43">
        <v>141.83000000000001</v>
      </c>
      <c r="AJ72" s="39" t="s">
        <v>547</v>
      </c>
      <c r="AK72" s="39" t="s">
        <v>539</v>
      </c>
      <c r="AL72" s="44"/>
      <c r="AM72" s="43">
        <v>230.3</v>
      </c>
      <c r="AN72" s="39" t="s">
        <v>547</v>
      </c>
      <c r="AO72" s="39">
        <v>11.272165048074601</v>
      </c>
      <c r="AP72" s="43" t="s">
        <v>539</v>
      </c>
      <c r="AQ72" s="43">
        <v>-73.67</v>
      </c>
      <c r="AR72" s="43">
        <v>206.97</v>
      </c>
      <c r="AS72" s="39" t="s">
        <v>547</v>
      </c>
      <c r="AT72" s="39" t="s">
        <v>539</v>
      </c>
      <c r="AU72" s="1">
        <v>11399.182697099999</v>
      </c>
    </row>
    <row r="73" spans="2:47" ht="18" customHeight="1" x14ac:dyDescent="0.25">
      <c r="B73" s="2">
        <f>IF(G73=$B$6,MAX(B$7:B72)+1,IF($B$6="Nifty 500 - All Sector",B72+1,0))</f>
        <v>0</v>
      </c>
      <c r="C73" s="36">
        <v>24585</v>
      </c>
      <c r="D73" s="36" t="s">
        <v>92</v>
      </c>
      <c r="E73" s="36" t="s">
        <v>527</v>
      </c>
      <c r="F73" s="36" t="s">
        <v>612</v>
      </c>
      <c r="G73" s="36" t="s">
        <v>583</v>
      </c>
      <c r="H73" s="36" t="s">
        <v>529</v>
      </c>
      <c r="I73" s="37">
        <v>46141</v>
      </c>
      <c r="J73" s="38">
        <v>898.98749999999995</v>
      </c>
      <c r="K73" s="39">
        <v>28.254558164750176</v>
      </c>
      <c r="L73" s="39">
        <v>0.74156459764447291</v>
      </c>
      <c r="M73" s="38" t="s">
        <v>539</v>
      </c>
      <c r="N73" s="38">
        <v>700.94</v>
      </c>
      <c r="O73" s="38">
        <v>892.37</v>
      </c>
      <c r="P73" s="39" t="s">
        <v>540</v>
      </c>
      <c r="Q73" s="39" t="s">
        <v>540</v>
      </c>
      <c r="R73" s="40"/>
      <c r="S73" s="38">
        <v>287.40999999999997</v>
      </c>
      <c r="T73" s="39">
        <v>31.970411156996065</v>
      </c>
      <c r="U73" s="39">
        <v>647.46483242286388</v>
      </c>
      <c r="V73" s="38" t="s">
        <v>539</v>
      </c>
      <c r="W73" s="38">
        <v>178.71</v>
      </c>
      <c r="X73" s="38">
        <v>307.57</v>
      </c>
      <c r="Y73" s="39" t="s">
        <v>540</v>
      </c>
      <c r="Z73" s="39" t="s">
        <v>540</v>
      </c>
      <c r="AA73" s="41" t="s">
        <v>540</v>
      </c>
      <c r="AB73" s="42" t="s">
        <v>540</v>
      </c>
      <c r="AC73" s="40"/>
      <c r="AD73" s="43">
        <v>175.87</v>
      </c>
      <c r="AE73" s="39">
        <v>85.165297957464531</v>
      </c>
      <c r="AF73" s="39">
        <v>-5.140237324703345</v>
      </c>
      <c r="AG73" s="43" t="s">
        <v>539</v>
      </c>
      <c r="AH73" s="43">
        <v>94.980000000000103</v>
      </c>
      <c r="AI73" s="43">
        <v>185.4</v>
      </c>
      <c r="AJ73" s="39" t="s">
        <v>539</v>
      </c>
      <c r="AK73" s="39" t="s">
        <v>539</v>
      </c>
      <c r="AL73" s="44"/>
      <c r="AM73" s="43">
        <v>175.87</v>
      </c>
      <c r="AN73" s="39">
        <v>85.204296545914076</v>
      </c>
      <c r="AO73" s="39">
        <v>-5.140237324703345</v>
      </c>
      <c r="AP73" s="43" t="s">
        <v>539</v>
      </c>
      <c r="AQ73" s="43">
        <v>94.96</v>
      </c>
      <c r="AR73" s="43">
        <v>185.4</v>
      </c>
      <c r="AS73" s="39" t="s">
        <v>539</v>
      </c>
      <c r="AT73" s="39" t="s">
        <v>539</v>
      </c>
      <c r="AU73" s="1">
        <v>31911.205815450001</v>
      </c>
    </row>
    <row r="74" spans="2:47" ht="18" customHeight="1" x14ac:dyDescent="0.25">
      <c r="B74" s="2">
        <f>IF(G74=$B$6,MAX(B$7:B73)+1,IF($B$6="Nifty 500 - All Sector",B73+1,0))</f>
        <v>0</v>
      </c>
      <c r="C74" s="36">
        <v>17808</v>
      </c>
      <c r="D74" s="36" t="s">
        <v>93</v>
      </c>
      <c r="E74" s="36" t="s">
        <v>527</v>
      </c>
      <c r="F74" s="36" t="s">
        <v>613</v>
      </c>
      <c r="G74" s="36" t="s">
        <v>576</v>
      </c>
      <c r="H74" s="36" t="s">
        <v>532</v>
      </c>
      <c r="I74" s="37">
        <v>46141</v>
      </c>
      <c r="J74" s="38">
        <v>15290.833333333334</v>
      </c>
      <c r="K74" s="39">
        <v>7.3990569439176701</v>
      </c>
      <c r="L74" s="39">
        <v>22.80373461489862</v>
      </c>
      <c r="M74" s="38" t="s">
        <v>539</v>
      </c>
      <c r="N74" s="38">
        <v>14237.4</v>
      </c>
      <c r="O74" s="38">
        <v>12451.44</v>
      </c>
      <c r="P74" s="39" t="s">
        <v>540</v>
      </c>
      <c r="Q74" s="39" t="s">
        <v>540</v>
      </c>
      <c r="R74" s="40"/>
      <c r="S74" s="38">
        <v>4745.875</v>
      </c>
      <c r="T74" s="39">
        <v>31.037386233582211</v>
      </c>
      <c r="U74" s="39">
        <v>-276.53446021040793</v>
      </c>
      <c r="V74" s="38" t="s">
        <v>539</v>
      </c>
      <c r="W74" s="38">
        <v>4812.63</v>
      </c>
      <c r="X74" s="38">
        <v>4238.07</v>
      </c>
      <c r="Y74" s="39" t="s">
        <v>540</v>
      </c>
      <c r="Z74" s="39" t="s">
        <v>540</v>
      </c>
      <c r="AA74" s="41" t="s">
        <v>540</v>
      </c>
      <c r="AB74" s="42" t="s">
        <v>540</v>
      </c>
      <c r="AC74" s="40"/>
      <c r="AD74" s="43">
        <v>3062.84</v>
      </c>
      <c r="AE74" s="39">
        <v>17.836436175328863</v>
      </c>
      <c r="AF74" s="39">
        <v>23.100048631681336</v>
      </c>
      <c r="AG74" s="43" t="s">
        <v>539</v>
      </c>
      <c r="AH74" s="43">
        <v>2599.23</v>
      </c>
      <c r="AI74" s="43">
        <v>2488.09</v>
      </c>
      <c r="AJ74" s="39" t="s">
        <v>539</v>
      </c>
      <c r="AK74" s="39" t="s">
        <v>539</v>
      </c>
      <c r="AL74" s="44"/>
      <c r="AM74" s="43">
        <v>3062.84</v>
      </c>
      <c r="AN74" s="39">
        <v>16.149975160885433</v>
      </c>
      <c r="AO74" s="39">
        <v>23.522532041716747</v>
      </c>
      <c r="AP74" s="43" t="s">
        <v>539</v>
      </c>
      <c r="AQ74" s="43">
        <v>2636.97</v>
      </c>
      <c r="AR74" s="43">
        <v>2479.58</v>
      </c>
      <c r="AS74" s="39" t="s">
        <v>539</v>
      </c>
      <c r="AT74" s="39" t="s">
        <v>539</v>
      </c>
      <c r="AU74" s="1">
        <v>353488.45394265</v>
      </c>
    </row>
    <row r="75" spans="2:47" ht="18" customHeight="1" x14ac:dyDescent="0.25">
      <c r="B75" s="2">
        <f>IF(G75=$B$6,MAX(B$7:B74)+1,IF($B$6="Nifty 500 - All Sector",B74+1,0))</f>
        <v>0</v>
      </c>
      <c r="C75" s="36">
        <v>3722</v>
      </c>
      <c r="D75" s="36" t="s">
        <v>94</v>
      </c>
      <c r="E75" s="36" t="s">
        <v>527</v>
      </c>
      <c r="F75" s="36" t="s">
        <v>614</v>
      </c>
      <c r="G75" s="36" t="s">
        <v>2</v>
      </c>
      <c r="H75" s="36" t="s">
        <v>532</v>
      </c>
      <c r="I75" s="37">
        <v>46141</v>
      </c>
      <c r="J75" s="38">
        <v>14494.781818181818</v>
      </c>
      <c r="K75" s="39">
        <v>21.755061736766713</v>
      </c>
      <c r="L75" s="39">
        <v>4.4655407582591122</v>
      </c>
      <c r="M75" s="38" t="s">
        <v>539</v>
      </c>
      <c r="N75" s="38">
        <v>11904.869999999999</v>
      </c>
      <c r="O75" s="38">
        <v>13875.18</v>
      </c>
      <c r="P75" s="39" t="s">
        <v>540</v>
      </c>
      <c r="Q75" s="39" t="s">
        <v>540</v>
      </c>
      <c r="R75" s="40"/>
      <c r="S75" s="38" t="s">
        <v>539</v>
      </c>
      <c r="T75" s="39" t="s">
        <v>540</v>
      </c>
      <c r="U75" s="39" t="s">
        <v>540</v>
      </c>
      <c r="V75" s="38" t="s">
        <v>539</v>
      </c>
      <c r="W75" s="38">
        <v>0</v>
      </c>
      <c r="X75" s="38">
        <v>0</v>
      </c>
      <c r="Y75" s="39" t="s">
        <v>540</v>
      </c>
      <c r="Z75" s="39" t="s">
        <v>540</v>
      </c>
      <c r="AA75" s="41" t="s">
        <v>540</v>
      </c>
      <c r="AB75" s="42" t="s">
        <v>540</v>
      </c>
      <c r="AC75" s="40"/>
      <c r="AD75" s="43">
        <v>5434.0111000000006</v>
      </c>
      <c r="AE75" s="39">
        <v>19.777618339119417</v>
      </c>
      <c r="AF75" s="39">
        <v>33.71748363600571</v>
      </c>
      <c r="AG75" s="43" t="s">
        <v>540</v>
      </c>
      <c r="AH75" s="43">
        <v>4536.75</v>
      </c>
      <c r="AI75" s="43">
        <v>4063.8</v>
      </c>
      <c r="AJ75" s="39" t="s">
        <v>539</v>
      </c>
      <c r="AK75" s="39" t="s">
        <v>539</v>
      </c>
      <c r="AL75" s="44"/>
      <c r="AM75" s="43">
        <v>5434.0111000000006</v>
      </c>
      <c r="AN75" s="39">
        <v>21.306533886064983</v>
      </c>
      <c r="AO75" s="39">
        <v>36.606737307842188</v>
      </c>
      <c r="AP75" s="43" t="s">
        <v>539</v>
      </c>
      <c r="AQ75" s="43">
        <v>4479.57</v>
      </c>
      <c r="AR75" s="43">
        <v>3977.85</v>
      </c>
      <c r="AS75" s="39" t="s">
        <v>539</v>
      </c>
      <c r="AT75" s="39" t="s">
        <v>539</v>
      </c>
      <c r="AU75" s="1">
        <v>568491.88749823999</v>
      </c>
    </row>
    <row r="76" spans="2:47" ht="18" customHeight="1" x14ac:dyDescent="0.25">
      <c r="B76" s="2">
        <f>IF(G76=$B$6,MAX(B$7:B75)+1,IF($B$6="Nifty 500 - All Sector",B75+1,0))</f>
        <v>0</v>
      </c>
      <c r="C76" s="36">
        <v>25767</v>
      </c>
      <c r="D76" s="36" t="s">
        <v>95</v>
      </c>
      <c r="E76" s="36" t="s">
        <v>527</v>
      </c>
      <c r="F76" s="36" t="s">
        <v>615</v>
      </c>
      <c r="G76" s="36" t="s">
        <v>616</v>
      </c>
      <c r="H76" s="36" t="s">
        <v>529</v>
      </c>
      <c r="I76" s="37">
        <v>46141</v>
      </c>
      <c r="J76" s="38">
        <v>929.6</v>
      </c>
      <c r="K76" s="39">
        <v>-8.6836935166994085</v>
      </c>
      <c r="L76" s="39">
        <v>1.3629920401264872</v>
      </c>
      <c r="M76" s="38" t="s">
        <v>539</v>
      </c>
      <c r="N76" s="38">
        <v>1018</v>
      </c>
      <c r="O76" s="38">
        <v>917.1</v>
      </c>
      <c r="P76" s="39" t="s">
        <v>540</v>
      </c>
      <c r="Q76" s="39" t="s">
        <v>540</v>
      </c>
      <c r="R76" s="40"/>
      <c r="S76" s="38">
        <v>225.46666666666664</v>
      </c>
      <c r="T76" s="39">
        <v>24.254159495123346</v>
      </c>
      <c r="U76" s="39">
        <v>-949.82963005544502</v>
      </c>
      <c r="V76" s="38" t="s">
        <v>539</v>
      </c>
      <c r="W76" s="38">
        <v>343.6</v>
      </c>
      <c r="X76" s="38">
        <v>209.2</v>
      </c>
      <c r="Y76" s="39" t="s">
        <v>540</v>
      </c>
      <c r="Z76" s="39" t="s">
        <v>540</v>
      </c>
      <c r="AA76" s="41" t="s">
        <v>540</v>
      </c>
      <c r="AB76" s="42" t="s">
        <v>540</v>
      </c>
      <c r="AC76" s="40"/>
      <c r="AD76" s="43">
        <v>92.1</v>
      </c>
      <c r="AE76" s="39">
        <v>-49.754500818330612</v>
      </c>
      <c r="AF76" s="39">
        <v>514</v>
      </c>
      <c r="AG76" s="43" t="s">
        <v>539</v>
      </c>
      <c r="AH76" s="43">
        <v>183.3</v>
      </c>
      <c r="AI76" s="43">
        <v>15</v>
      </c>
      <c r="AJ76" s="39" t="s">
        <v>539</v>
      </c>
      <c r="AK76" s="39" t="s">
        <v>539</v>
      </c>
      <c r="AL76" s="44"/>
      <c r="AM76" s="43">
        <v>92.1</v>
      </c>
      <c r="AN76" s="39">
        <v>-49.754500818330612</v>
      </c>
      <c r="AO76" s="39">
        <v>514</v>
      </c>
      <c r="AP76" s="43" t="s">
        <v>539</v>
      </c>
      <c r="AQ76" s="43">
        <v>183.3</v>
      </c>
      <c r="AR76" s="43">
        <v>15</v>
      </c>
      <c r="AS76" s="39" t="s">
        <v>539</v>
      </c>
      <c r="AT76" s="39" t="s">
        <v>539</v>
      </c>
      <c r="AU76" s="1">
        <v>16651.471531499999</v>
      </c>
    </row>
    <row r="77" spans="2:47" ht="18" customHeight="1" x14ac:dyDescent="0.25">
      <c r="B77" s="2">
        <f>IF(G77=$B$6,MAX(B$7:B76)+1,IF($B$6="Nifty 500 - All Sector",B76+1,0))</f>
        <v>0</v>
      </c>
      <c r="C77" s="36">
        <v>105</v>
      </c>
      <c r="D77" s="36" t="s">
        <v>96</v>
      </c>
      <c r="E77" s="36" t="s">
        <v>527</v>
      </c>
      <c r="F77" s="36" t="s">
        <v>617</v>
      </c>
      <c r="G77" s="36" t="s">
        <v>618</v>
      </c>
      <c r="H77" s="36" t="s">
        <v>529</v>
      </c>
      <c r="I77" s="37">
        <v>46141</v>
      </c>
      <c r="J77" s="38">
        <v>3512</v>
      </c>
      <c r="K77" s="39">
        <v>41.629122044621234</v>
      </c>
      <c r="L77" s="39">
        <v>51.674814725240559</v>
      </c>
      <c r="M77" s="38" t="s">
        <v>539</v>
      </c>
      <c r="N77" s="38">
        <v>2479.7159999999999</v>
      </c>
      <c r="O77" s="38">
        <v>2315.48</v>
      </c>
      <c r="P77" s="39" t="s">
        <v>540</v>
      </c>
      <c r="Q77" s="39" t="s">
        <v>540</v>
      </c>
      <c r="R77" s="40"/>
      <c r="S77" s="38">
        <v>341</v>
      </c>
      <c r="T77" s="39">
        <v>9.7095671981776768</v>
      </c>
      <c r="U77" s="39">
        <v>-75.288092088111995</v>
      </c>
      <c r="V77" s="38" t="s">
        <v>539</v>
      </c>
      <c r="W77" s="38">
        <v>259.43900000000002</v>
      </c>
      <c r="X77" s="38">
        <v>221.8</v>
      </c>
      <c r="Y77" s="39" t="s">
        <v>540</v>
      </c>
      <c r="Z77" s="39" t="s">
        <v>540</v>
      </c>
      <c r="AA77" s="41" t="s">
        <v>540</v>
      </c>
      <c r="AB77" s="42" t="s">
        <v>540</v>
      </c>
      <c r="AC77" s="40"/>
      <c r="AD77" s="43">
        <v>181.3</v>
      </c>
      <c r="AE77" s="39">
        <v>57.530259190713281</v>
      </c>
      <c r="AF77" s="39">
        <v>63.49535575795835</v>
      </c>
      <c r="AG77" s="43" t="s">
        <v>539</v>
      </c>
      <c r="AH77" s="43">
        <v>115.089</v>
      </c>
      <c r="AI77" s="43">
        <v>110.89</v>
      </c>
      <c r="AJ77" s="39" t="s">
        <v>539</v>
      </c>
      <c r="AK77" s="39" t="s">
        <v>539</v>
      </c>
      <c r="AL77" s="44"/>
      <c r="AM77" s="43">
        <v>181.3</v>
      </c>
      <c r="AN77" s="39">
        <v>59.659721366046114</v>
      </c>
      <c r="AO77" s="39">
        <v>63.49535575795835</v>
      </c>
      <c r="AP77" s="43" t="s">
        <v>539</v>
      </c>
      <c r="AQ77" s="43">
        <v>113.554</v>
      </c>
      <c r="AR77" s="43">
        <v>110.89</v>
      </c>
      <c r="AS77" s="39" t="s">
        <v>539</v>
      </c>
      <c r="AT77" s="39" t="s">
        <v>539</v>
      </c>
      <c r="AU77" s="1">
        <v>10971.214052159999</v>
      </c>
    </row>
    <row r="78" spans="2:47" ht="18" customHeight="1" x14ac:dyDescent="0.25">
      <c r="B78" s="2">
        <f>IF(G78=$B$6,MAX(B$7:B77)+1,IF($B$6="Nifty 500 - All Sector",B77+1,0))</f>
        <v>13</v>
      </c>
      <c r="C78" s="36">
        <v>3361</v>
      </c>
      <c r="D78" s="36" t="s">
        <v>97</v>
      </c>
      <c r="E78" s="36" t="s">
        <v>527</v>
      </c>
      <c r="F78" s="36" t="s">
        <v>619</v>
      </c>
      <c r="G78" s="36" t="s">
        <v>531</v>
      </c>
      <c r="H78" s="36" t="s">
        <v>535</v>
      </c>
      <c r="I78" s="37">
        <v>46141</v>
      </c>
      <c r="J78" s="38">
        <v>4156.0166666666664</v>
      </c>
      <c r="K78" s="39">
        <v>12.020774613182606</v>
      </c>
      <c r="L78" s="39">
        <v>3.8334700368603869</v>
      </c>
      <c r="M78" s="38" t="s">
        <v>539</v>
      </c>
      <c r="N78" s="38">
        <v>3710.0410000000002</v>
      </c>
      <c r="O78" s="38">
        <v>4002.5790000000002</v>
      </c>
      <c r="P78" s="39" t="s">
        <v>540</v>
      </c>
      <c r="Q78" s="39" t="s">
        <v>540</v>
      </c>
      <c r="R78" s="40"/>
      <c r="S78" s="38">
        <v>773.17647058823536</v>
      </c>
      <c r="T78" s="39">
        <v>18.603786572597208</v>
      </c>
      <c r="U78" s="39">
        <v>-33.290442354002892</v>
      </c>
      <c r="V78" s="38" t="s">
        <v>539</v>
      </c>
      <c r="W78" s="38">
        <v>702.55899999999997</v>
      </c>
      <c r="X78" s="38">
        <v>751.68200000000002</v>
      </c>
      <c r="Y78" s="39" t="s">
        <v>540</v>
      </c>
      <c r="Z78" s="39" t="s">
        <v>540</v>
      </c>
      <c r="AA78" s="41" t="s">
        <v>540</v>
      </c>
      <c r="AB78" s="42" t="s">
        <v>540</v>
      </c>
      <c r="AC78" s="40"/>
      <c r="AD78" s="43">
        <v>500.02110000000005</v>
      </c>
      <c r="AE78" s="39">
        <v>11.988815029160671</v>
      </c>
      <c r="AF78" s="39">
        <v>12.693763114183266</v>
      </c>
      <c r="AG78" s="43" t="s">
        <v>539</v>
      </c>
      <c r="AH78" s="43">
        <v>446.49200000000002</v>
      </c>
      <c r="AI78" s="43">
        <v>443.69900000000001</v>
      </c>
      <c r="AJ78" s="39" t="s">
        <v>539</v>
      </c>
      <c r="AK78" s="39" t="s">
        <v>539</v>
      </c>
      <c r="AL78" s="44"/>
      <c r="AM78" s="43">
        <v>500.02110000000005</v>
      </c>
      <c r="AN78" s="39">
        <v>11.988815029160671</v>
      </c>
      <c r="AO78" s="39">
        <v>13.079615997828963</v>
      </c>
      <c r="AP78" s="43" t="s">
        <v>539</v>
      </c>
      <c r="AQ78" s="43">
        <v>446.49200000000002</v>
      </c>
      <c r="AR78" s="43">
        <v>442.185</v>
      </c>
      <c r="AS78" s="39" t="s">
        <v>539</v>
      </c>
      <c r="AT78" s="39" t="s">
        <v>539</v>
      </c>
      <c r="AU78" s="1">
        <v>45972.082160400001</v>
      </c>
    </row>
    <row r="79" spans="2:47" ht="18" customHeight="1" x14ac:dyDescent="0.25">
      <c r="B79" s="2">
        <f>IF(G79=$B$6,MAX(B$7:B78)+1,IF($B$6="Nifty 500 - All Sector",B78+1,0))</f>
        <v>0</v>
      </c>
      <c r="C79" s="36">
        <v>73556</v>
      </c>
      <c r="D79" s="36" t="s">
        <v>98</v>
      </c>
      <c r="E79" s="36" t="s">
        <v>527</v>
      </c>
      <c r="F79" s="36" t="s">
        <v>620</v>
      </c>
      <c r="G79" s="36" t="s">
        <v>621</v>
      </c>
      <c r="H79" s="36" t="s">
        <v>529</v>
      </c>
      <c r="I79" s="37">
        <v>46141</v>
      </c>
      <c r="J79" s="38">
        <v>356.45</v>
      </c>
      <c r="K79" s="39">
        <v>26.088617535320392</v>
      </c>
      <c r="L79" s="39">
        <v>-3.8884140307546278</v>
      </c>
      <c r="M79" s="38" t="s">
        <v>539</v>
      </c>
      <c r="N79" s="38">
        <v>282.69799999999998</v>
      </c>
      <c r="O79" s="38">
        <v>370.87099999999998</v>
      </c>
      <c r="P79" s="39" t="s">
        <v>540</v>
      </c>
      <c r="Q79" s="39" t="s">
        <v>540</v>
      </c>
      <c r="R79" s="40"/>
      <c r="S79" s="38">
        <v>142.13333333333333</v>
      </c>
      <c r="T79" s="39">
        <v>39.874690232384161</v>
      </c>
      <c r="U79" s="39">
        <v>-337.03981658358515</v>
      </c>
      <c r="V79" s="38" t="s">
        <v>539</v>
      </c>
      <c r="W79" s="38">
        <v>122.253</v>
      </c>
      <c r="X79" s="38">
        <v>151.62100000000001</v>
      </c>
      <c r="Y79" s="39" t="s">
        <v>540</v>
      </c>
      <c r="Z79" s="39" t="s">
        <v>540</v>
      </c>
      <c r="AA79" s="41" t="s">
        <v>540</v>
      </c>
      <c r="AB79" s="42" t="s">
        <v>540</v>
      </c>
      <c r="AC79" s="40"/>
      <c r="AD79" s="43">
        <v>97.9</v>
      </c>
      <c r="AE79" s="39">
        <v>15.104699422712908</v>
      </c>
      <c r="AF79" s="39">
        <v>6.3598635464876319</v>
      </c>
      <c r="AG79" s="43" t="s">
        <v>539</v>
      </c>
      <c r="AH79" s="43">
        <v>85.052999999999997</v>
      </c>
      <c r="AI79" s="43">
        <v>92.046000000000006</v>
      </c>
      <c r="AJ79" s="39" t="s">
        <v>539</v>
      </c>
      <c r="AK79" s="39" t="s">
        <v>539</v>
      </c>
      <c r="AL79" s="44"/>
      <c r="AM79" s="43">
        <v>97.9</v>
      </c>
      <c r="AN79" s="39">
        <v>15.104699422712908</v>
      </c>
      <c r="AO79" s="39">
        <v>6.4211407389692887</v>
      </c>
      <c r="AP79" s="43" t="s">
        <v>539</v>
      </c>
      <c r="AQ79" s="43">
        <v>85.052999999999997</v>
      </c>
      <c r="AR79" s="43">
        <v>91.992999999999995</v>
      </c>
      <c r="AS79" s="39" t="s">
        <v>539</v>
      </c>
      <c r="AT79" s="39" t="s">
        <v>539</v>
      </c>
      <c r="AU79" s="1">
        <v>16090.87831842</v>
      </c>
    </row>
    <row r="80" spans="2:47" ht="18" customHeight="1" x14ac:dyDescent="0.25">
      <c r="B80" s="2">
        <f>IF(G80=$B$6,MAX(B$7:B79)+1,IF($B$6="Nifty 500 - All Sector",B79+1,0))</f>
        <v>0</v>
      </c>
      <c r="C80" s="45">
        <v>3709</v>
      </c>
      <c r="D80" s="45" t="s">
        <v>99</v>
      </c>
      <c r="E80" s="45" t="s">
        <v>533</v>
      </c>
      <c r="F80" s="45" t="s">
        <v>622</v>
      </c>
      <c r="G80" s="45" t="s">
        <v>4</v>
      </c>
      <c r="H80" s="45" t="s">
        <v>535</v>
      </c>
      <c r="I80" s="37">
        <v>46141</v>
      </c>
      <c r="J80" s="46">
        <v>2874.8629758410939</v>
      </c>
      <c r="K80" s="39">
        <v>20.922630049174494</v>
      </c>
      <c r="L80" s="39">
        <v>8.3737499044793218</v>
      </c>
      <c r="M80" s="46" t="s">
        <v>539</v>
      </c>
      <c r="N80" s="46">
        <v>2377.4399999999996</v>
      </c>
      <c r="O80" s="46">
        <v>2652.7299999999996</v>
      </c>
      <c r="P80" s="47" t="s">
        <v>540</v>
      </c>
      <c r="Q80" s="47" t="s">
        <v>540</v>
      </c>
      <c r="R80" s="40"/>
      <c r="S80" s="38">
        <v>1773.4</v>
      </c>
      <c r="T80" s="39"/>
      <c r="U80" s="39"/>
      <c r="V80" s="46" t="s">
        <v>539</v>
      </c>
      <c r="W80" s="46">
        <v>1465.4</v>
      </c>
      <c r="X80" s="46">
        <v>1729.33</v>
      </c>
      <c r="Y80" s="47" t="s">
        <v>540</v>
      </c>
      <c r="Z80" s="47" t="s">
        <v>540</v>
      </c>
      <c r="AA80" s="41" t="s">
        <v>540</v>
      </c>
      <c r="AB80" s="48" t="s">
        <v>540</v>
      </c>
      <c r="AC80" s="40"/>
      <c r="AD80" s="49">
        <v>1118.3286000000001</v>
      </c>
      <c r="AE80" s="50">
        <v>8.5513526105821072</v>
      </c>
      <c r="AF80" s="50">
        <v>7.4066326677615368</v>
      </c>
      <c r="AG80" s="43" t="s">
        <v>540</v>
      </c>
      <c r="AH80" s="43">
        <v>1030.23</v>
      </c>
      <c r="AI80" s="43">
        <v>1041.21</v>
      </c>
      <c r="AJ80" s="41" t="s">
        <v>539</v>
      </c>
      <c r="AK80" s="41" t="s">
        <v>539</v>
      </c>
      <c r="AL80" s="44"/>
      <c r="AM80" s="49">
        <v>1118.3286000000001</v>
      </c>
      <c r="AN80" s="50">
        <v>8.5513526105821072</v>
      </c>
      <c r="AO80" s="50">
        <v>7.4066326677615368</v>
      </c>
      <c r="AP80" s="43" t="s">
        <v>539</v>
      </c>
      <c r="AQ80" s="43">
        <v>1030.23</v>
      </c>
      <c r="AR80" s="43">
        <v>1041.21</v>
      </c>
      <c r="AS80" s="41" t="s">
        <v>539</v>
      </c>
      <c r="AT80" s="41" t="s">
        <v>539</v>
      </c>
      <c r="AU80" s="1">
        <v>70782.129741199999</v>
      </c>
    </row>
    <row r="81" spans="2:47" ht="18" customHeight="1" x14ac:dyDescent="0.25">
      <c r="B81" s="2">
        <f>IF(G81=$B$6,MAX(B$7:B80)+1,IF($B$6="Nifty 500 - All Sector",B80+1,0))</f>
        <v>0</v>
      </c>
      <c r="C81" s="36">
        <v>6</v>
      </c>
      <c r="D81" s="36" t="s">
        <v>100</v>
      </c>
      <c r="E81" s="36" t="s">
        <v>527</v>
      </c>
      <c r="F81" s="36" t="s">
        <v>623</v>
      </c>
      <c r="G81" s="36" t="s">
        <v>591</v>
      </c>
      <c r="H81" s="36" t="s">
        <v>535</v>
      </c>
      <c r="I81" s="37">
        <v>46142</v>
      </c>
      <c r="J81" s="38">
        <v>7069.5090909090914</v>
      </c>
      <c r="K81" s="39">
        <v>16.533186916207153</v>
      </c>
      <c r="L81" s="39">
        <v>9.0472142580895198</v>
      </c>
      <c r="M81" s="38" t="s">
        <v>539</v>
      </c>
      <c r="N81" s="38">
        <v>6066.52</v>
      </c>
      <c r="O81" s="38">
        <v>6482.98</v>
      </c>
      <c r="P81" s="39" t="s">
        <v>540</v>
      </c>
      <c r="Q81" s="39" t="s">
        <v>540</v>
      </c>
      <c r="R81" s="40"/>
      <c r="S81" s="38">
        <v>907.16923076923081</v>
      </c>
      <c r="T81" s="39">
        <v>12.83213896613824</v>
      </c>
      <c r="U81" s="39">
        <v>-85.297210248100086</v>
      </c>
      <c r="V81" s="38" t="s">
        <v>539</v>
      </c>
      <c r="W81" s="38">
        <v>830.21</v>
      </c>
      <c r="X81" s="38">
        <v>700</v>
      </c>
      <c r="Y81" s="39" t="s">
        <v>540</v>
      </c>
      <c r="Z81" s="39" t="s">
        <v>540</v>
      </c>
      <c r="AA81" s="41" t="s">
        <v>540</v>
      </c>
      <c r="AB81" s="42" t="s">
        <v>540</v>
      </c>
      <c r="AC81" s="40"/>
      <c r="AD81" s="43">
        <v>419.73999999999995</v>
      </c>
      <c r="AE81" s="39">
        <v>-43.972663080475726</v>
      </c>
      <c r="AF81" s="39">
        <v>4.2288495443371099</v>
      </c>
      <c r="AG81" s="43" t="s">
        <v>539</v>
      </c>
      <c r="AH81" s="43">
        <v>749.17</v>
      </c>
      <c r="AI81" s="43">
        <v>402.71</v>
      </c>
      <c r="AJ81" s="39" t="s">
        <v>539</v>
      </c>
      <c r="AK81" s="39" t="s">
        <v>539</v>
      </c>
      <c r="AL81" s="44"/>
      <c r="AM81" s="43">
        <v>419.73999999999995</v>
      </c>
      <c r="AN81" s="39">
        <v>-44.111420316099228</v>
      </c>
      <c r="AO81" s="39">
        <v>3.8420622943519334</v>
      </c>
      <c r="AP81" s="43" t="s">
        <v>539</v>
      </c>
      <c r="AQ81" s="43">
        <v>751.03</v>
      </c>
      <c r="AR81" s="43">
        <v>404.21</v>
      </c>
      <c r="AS81" s="39" t="s">
        <v>539</v>
      </c>
      <c r="AT81" s="39" t="s">
        <v>539</v>
      </c>
      <c r="AU81" s="1">
        <v>26841.372436905</v>
      </c>
    </row>
    <row r="82" spans="2:47" ht="18" customHeight="1" x14ac:dyDescent="0.25">
      <c r="B82" s="2">
        <f>IF(G82=$B$6,MAX(B$7:B81)+1,IF($B$6="Nifty 500 - All Sector",B81+1,0))</f>
        <v>0</v>
      </c>
      <c r="C82" s="36">
        <v>255</v>
      </c>
      <c r="D82" s="36" t="s">
        <v>101</v>
      </c>
      <c r="E82" s="36" t="s">
        <v>533</v>
      </c>
      <c r="F82" s="36" t="s">
        <v>624</v>
      </c>
      <c r="G82" s="36" t="s">
        <v>625</v>
      </c>
      <c r="H82" s="36" t="s">
        <v>532</v>
      </c>
      <c r="I82" s="37">
        <v>46142</v>
      </c>
      <c r="J82" s="38">
        <v>16056.607142857145</v>
      </c>
      <c r="K82" s="39">
        <v>5.5383669176886086</v>
      </c>
      <c r="L82" s="39">
        <v>1.5919464907127256</v>
      </c>
      <c r="M82" s="38" t="s">
        <v>539</v>
      </c>
      <c r="N82" s="38">
        <v>15214</v>
      </c>
      <c r="O82" s="38">
        <v>15805</v>
      </c>
      <c r="P82" s="39" t="s">
        <v>540</v>
      </c>
      <c r="Q82" s="39" t="s">
        <v>540</v>
      </c>
      <c r="R82" s="40"/>
      <c r="S82" s="38">
        <v>3704.85</v>
      </c>
      <c r="T82" s="39">
        <v>23.073679059577163</v>
      </c>
      <c r="U82" s="39">
        <v>29.203057791553277</v>
      </c>
      <c r="V82" s="38" t="s">
        <v>539</v>
      </c>
      <c r="W82" s="38">
        <v>3466</v>
      </c>
      <c r="X82" s="38">
        <v>3640</v>
      </c>
      <c r="Y82" s="39" t="s">
        <v>540</v>
      </c>
      <c r="Z82" s="39" t="s">
        <v>540</v>
      </c>
      <c r="AA82" s="41" t="s">
        <v>540</v>
      </c>
      <c r="AB82" s="42" t="s">
        <v>540</v>
      </c>
      <c r="AC82" s="40"/>
      <c r="AD82" s="43">
        <v>2607.3000000000002</v>
      </c>
      <c r="AE82" s="39">
        <v>4.5848375451263523</v>
      </c>
      <c r="AF82" s="39">
        <v>0.66795366795366906</v>
      </c>
      <c r="AG82" s="43" t="s">
        <v>539</v>
      </c>
      <c r="AH82" s="43">
        <v>2493</v>
      </c>
      <c r="AI82" s="43">
        <v>2590</v>
      </c>
      <c r="AJ82" s="39" t="s">
        <v>539</v>
      </c>
      <c r="AK82" s="39" t="s">
        <v>539</v>
      </c>
      <c r="AL82" s="44"/>
      <c r="AM82" s="43">
        <v>2607.3000000000002</v>
      </c>
      <c r="AN82" s="39">
        <v>4.5848375451263523</v>
      </c>
      <c r="AO82" s="39">
        <v>0.66795366795366906</v>
      </c>
      <c r="AP82" s="43" t="s">
        <v>539</v>
      </c>
      <c r="AQ82" s="43">
        <v>2493</v>
      </c>
      <c r="AR82" s="43">
        <v>2590</v>
      </c>
      <c r="AS82" s="39" t="s">
        <v>539</v>
      </c>
      <c r="AT82" s="39" t="s">
        <v>539</v>
      </c>
      <c r="AU82" s="1">
        <v>506689.35565029999</v>
      </c>
    </row>
    <row r="83" spans="2:47" ht="18" customHeight="1" x14ac:dyDescent="0.25">
      <c r="B83" s="2">
        <f>IF(G83=$B$6,MAX(B$7:B82)+1,IF($B$6="Nifty 500 - All Sector",B82+1,0))</f>
        <v>0</v>
      </c>
      <c r="C83" s="36">
        <v>28075</v>
      </c>
      <c r="D83" s="36" t="s">
        <v>102</v>
      </c>
      <c r="E83" s="36" t="s">
        <v>527</v>
      </c>
      <c r="F83" s="36" t="s">
        <v>626</v>
      </c>
      <c r="G83" s="36" t="s">
        <v>2</v>
      </c>
      <c r="H83" s="36" t="s">
        <v>532</v>
      </c>
      <c r="I83" s="37">
        <v>46142</v>
      </c>
      <c r="J83" s="38">
        <v>37966.050000000003</v>
      </c>
      <c r="K83" s="39">
        <v>25.717187363926051</v>
      </c>
      <c r="L83" s="39">
        <v>16.90634910321933</v>
      </c>
      <c r="M83" s="38" t="s">
        <v>539</v>
      </c>
      <c r="N83" s="38">
        <v>30199.57</v>
      </c>
      <c r="O83" s="38">
        <v>32475.609999999997</v>
      </c>
      <c r="P83" s="39" t="s">
        <v>540</v>
      </c>
      <c r="Q83" s="39" t="s">
        <v>540</v>
      </c>
      <c r="R83" s="40"/>
      <c r="S83" s="38" t="s">
        <v>539</v>
      </c>
      <c r="T83" s="39" t="s">
        <v>540</v>
      </c>
      <c r="U83" s="39" t="s">
        <v>540</v>
      </c>
      <c r="V83" s="38" t="s">
        <v>539</v>
      </c>
      <c r="W83" s="38">
        <v>0</v>
      </c>
      <c r="X83" s="38">
        <v>0</v>
      </c>
      <c r="Y83" s="39" t="s">
        <v>540</v>
      </c>
      <c r="Z83" s="39" t="s">
        <v>540</v>
      </c>
      <c r="AA83" s="41" t="s">
        <v>540</v>
      </c>
      <c r="AB83" s="42" t="s">
        <v>540</v>
      </c>
      <c r="AC83" s="40"/>
      <c r="AD83" s="43">
        <v>2737.1</v>
      </c>
      <c r="AE83" s="39">
        <v>-42.343947810224357</v>
      </c>
      <c r="AF83" s="39">
        <v>-37.306882706081488</v>
      </c>
      <c r="AG83" s="43" t="s">
        <v>540</v>
      </c>
      <c r="AH83" s="43">
        <v>4747.29</v>
      </c>
      <c r="AI83" s="43">
        <v>4365.87</v>
      </c>
      <c r="AJ83" s="39" t="s">
        <v>539</v>
      </c>
      <c r="AK83" s="39" t="s">
        <v>539</v>
      </c>
      <c r="AL83" s="44"/>
      <c r="AM83" s="43">
        <v>2737.1</v>
      </c>
      <c r="AN83" s="39">
        <v>13.260560116525433</v>
      </c>
      <c r="AO83" s="39">
        <v>22.786712424018106</v>
      </c>
      <c r="AP83" s="43" t="s">
        <v>539</v>
      </c>
      <c r="AQ83" s="43">
        <v>2416.64</v>
      </c>
      <c r="AR83" s="43">
        <v>2229.15</v>
      </c>
      <c r="AS83" s="39" t="s">
        <v>539</v>
      </c>
      <c r="AT83" s="39" t="s">
        <v>539</v>
      </c>
      <c r="AU83" s="1">
        <v>292108.37555994</v>
      </c>
    </row>
    <row r="84" spans="2:47" ht="18" customHeight="1" x14ac:dyDescent="0.25">
      <c r="B84" s="2">
        <f>IF(G84=$B$6,MAX(B$7:B83)+1,IF($B$6="Nifty 500 - All Sector",B83+1,0))</f>
        <v>0</v>
      </c>
      <c r="C84" s="36">
        <v>2163</v>
      </c>
      <c r="D84" s="36" t="s">
        <v>103</v>
      </c>
      <c r="E84" s="36" t="s">
        <v>533</v>
      </c>
      <c r="F84" s="36" t="s">
        <v>627</v>
      </c>
      <c r="G84" s="36" t="s">
        <v>2</v>
      </c>
      <c r="H84" s="36" t="s">
        <v>532</v>
      </c>
      <c r="I84" s="37">
        <v>46142</v>
      </c>
      <c r="J84" s="38">
        <v>4652.623076923077</v>
      </c>
      <c r="K84" s="39">
        <v>27.02505970697171</v>
      </c>
      <c r="L84" s="39">
        <v>9.9411869062524083</v>
      </c>
      <c r="M84" s="38" t="s">
        <v>539</v>
      </c>
      <c r="N84" s="38">
        <v>3662.76</v>
      </c>
      <c r="O84" s="38">
        <v>4231.92</v>
      </c>
      <c r="P84" s="39" t="s">
        <v>540</v>
      </c>
      <c r="Q84" s="39" t="s">
        <v>540</v>
      </c>
      <c r="R84" s="40"/>
      <c r="S84" s="38" t="s">
        <v>539</v>
      </c>
      <c r="T84" s="39" t="s">
        <v>540</v>
      </c>
      <c r="U84" s="39" t="s">
        <v>540</v>
      </c>
      <c r="V84" s="38" t="s">
        <v>539</v>
      </c>
      <c r="W84" s="38">
        <v>0</v>
      </c>
      <c r="X84" s="38">
        <v>0</v>
      </c>
      <c r="Y84" s="39" t="s">
        <v>540</v>
      </c>
      <c r="Z84" s="39" t="s">
        <v>540</v>
      </c>
      <c r="AA84" s="41" t="s">
        <v>540</v>
      </c>
      <c r="AB84" s="42" t="s">
        <v>540</v>
      </c>
      <c r="AC84" s="40"/>
      <c r="AD84" s="43">
        <v>1512.3533</v>
      </c>
      <c r="AE84" s="39">
        <v>19.391286156372356</v>
      </c>
      <c r="AF84" s="39">
        <v>17.449738284950978</v>
      </c>
      <c r="AG84" s="43" t="s">
        <v>540</v>
      </c>
      <c r="AH84" s="43">
        <v>1266.72</v>
      </c>
      <c r="AI84" s="43">
        <v>1287.6600000000001</v>
      </c>
      <c r="AJ84" s="39" t="s">
        <v>539</v>
      </c>
      <c r="AK84" s="39" t="s">
        <v>539</v>
      </c>
      <c r="AL84" s="44"/>
      <c r="AM84" s="43">
        <v>1512.3533</v>
      </c>
      <c r="AN84" s="39">
        <v>19.391286156372356</v>
      </c>
      <c r="AO84" s="39">
        <v>17.449738284950978</v>
      </c>
      <c r="AP84" s="43" t="s">
        <v>539</v>
      </c>
      <c r="AQ84" s="43">
        <v>1266.72</v>
      </c>
      <c r="AR84" s="43">
        <v>1287.6600000000001</v>
      </c>
      <c r="AS84" s="39" t="s">
        <v>539</v>
      </c>
      <c r="AT84" s="39" t="s">
        <v>539</v>
      </c>
      <c r="AU84" s="1">
        <v>131989.07784978999</v>
      </c>
    </row>
    <row r="85" spans="2:47" ht="18" customHeight="1" x14ac:dyDescent="0.25">
      <c r="B85" s="2">
        <f>IF(G85=$B$6,MAX(B$7:B84)+1,IF($B$6="Nifty 500 - All Sector",B84+1,0))</f>
        <v>0</v>
      </c>
      <c r="C85" s="36">
        <v>45955</v>
      </c>
      <c r="D85" s="36" t="s">
        <v>104</v>
      </c>
      <c r="E85" s="36" t="s">
        <v>527</v>
      </c>
      <c r="F85" s="36" t="s">
        <v>628</v>
      </c>
      <c r="G85" s="36" t="s">
        <v>616</v>
      </c>
      <c r="H85" s="36" t="s">
        <v>535</v>
      </c>
      <c r="I85" s="37">
        <v>46142</v>
      </c>
      <c r="J85" s="38">
        <v>1885.825</v>
      </c>
      <c r="K85" s="39">
        <v>9.6218682787885932</v>
      </c>
      <c r="L85" s="39">
        <v>6.0471014289007918</v>
      </c>
      <c r="M85" s="38" t="s">
        <v>539</v>
      </c>
      <c r="N85" s="38">
        <v>1720.3</v>
      </c>
      <c r="O85" s="38">
        <v>1778.29</v>
      </c>
      <c r="P85" s="39" t="s">
        <v>540</v>
      </c>
      <c r="Q85" s="39" t="s">
        <v>540</v>
      </c>
      <c r="R85" s="40"/>
      <c r="S85" s="38">
        <v>514.45000000000005</v>
      </c>
      <c r="T85" s="39">
        <v>27.279837736799546</v>
      </c>
      <c r="U85" s="39">
        <v>283.06137642366201</v>
      </c>
      <c r="V85" s="38" t="s">
        <v>539</v>
      </c>
      <c r="W85" s="38">
        <v>420.6</v>
      </c>
      <c r="X85" s="38">
        <v>480.21</v>
      </c>
      <c r="Y85" s="39" t="s">
        <v>540</v>
      </c>
      <c r="Z85" s="39" t="s">
        <v>540</v>
      </c>
      <c r="AA85" s="41" t="s">
        <v>540</v>
      </c>
      <c r="AB85" s="42" t="s">
        <v>540</v>
      </c>
      <c r="AC85" s="40"/>
      <c r="AD85" s="43">
        <v>266.0333</v>
      </c>
      <c r="AE85" s="39">
        <v>13.752640355753186</v>
      </c>
      <c r="AF85" s="39">
        <v>5.1058038007190554</v>
      </c>
      <c r="AG85" s="43" t="s">
        <v>539</v>
      </c>
      <c r="AH85" s="43">
        <v>233.87</v>
      </c>
      <c r="AI85" s="43">
        <v>253.11</v>
      </c>
      <c r="AJ85" s="39" t="s">
        <v>539</v>
      </c>
      <c r="AK85" s="39" t="s">
        <v>539</v>
      </c>
      <c r="AL85" s="44"/>
      <c r="AM85" s="43">
        <v>266.0333</v>
      </c>
      <c r="AN85" s="39">
        <v>13.850002139769767</v>
      </c>
      <c r="AO85" s="39">
        <v>5.7113963283795588</v>
      </c>
      <c r="AP85" s="43" t="s">
        <v>539</v>
      </c>
      <c r="AQ85" s="43">
        <v>233.67</v>
      </c>
      <c r="AR85" s="43">
        <v>251.66</v>
      </c>
      <c r="AS85" s="39" t="s">
        <v>539</v>
      </c>
      <c r="AT85" s="39" t="s">
        <v>539</v>
      </c>
      <c r="AU85" s="1">
        <v>60299.280926489999</v>
      </c>
    </row>
    <row r="86" spans="2:47" ht="18" customHeight="1" x14ac:dyDescent="0.25">
      <c r="B86" s="2">
        <f>IF(G86=$B$6,MAX(B$7:B85)+1,IF($B$6="Nifty 500 - All Sector",B85+1,0))</f>
        <v>0</v>
      </c>
      <c r="C86" s="36">
        <v>41261</v>
      </c>
      <c r="D86" s="36" t="s">
        <v>105</v>
      </c>
      <c r="E86" s="36" t="s">
        <v>527</v>
      </c>
      <c r="F86" s="36" t="s">
        <v>629</v>
      </c>
      <c r="G86" s="36" t="s">
        <v>616</v>
      </c>
      <c r="H86" s="36" t="s">
        <v>529</v>
      </c>
      <c r="I86" s="37">
        <v>46142</v>
      </c>
      <c r="J86" s="38">
        <v>667.74666666666667</v>
      </c>
      <c r="K86" s="39">
        <v>10.810930412656262</v>
      </c>
      <c r="L86" s="39">
        <v>1.2044053753662798</v>
      </c>
      <c r="M86" s="38" t="s">
        <v>539</v>
      </c>
      <c r="N86" s="38">
        <v>602.6</v>
      </c>
      <c r="O86" s="38">
        <v>659.8</v>
      </c>
      <c r="P86" s="39" t="s">
        <v>540</v>
      </c>
      <c r="Q86" s="39" t="s">
        <v>540</v>
      </c>
      <c r="R86" s="40"/>
      <c r="S86" s="38">
        <v>178.59285714285716</v>
      </c>
      <c r="T86" s="39">
        <v>26.745600698297334</v>
      </c>
      <c r="U86" s="39">
        <v>-129.95370381779381</v>
      </c>
      <c r="V86" s="38" t="s">
        <v>539</v>
      </c>
      <c r="W86" s="38">
        <v>169</v>
      </c>
      <c r="X86" s="38">
        <v>179.3</v>
      </c>
      <c r="Y86" s="39" t="s">
        <v>540</v>
      </c>
      <c r="Z86" s="39" t="s">
        <v>540</v>
      </c>
      <c r="AA86" s="41" t="s">
        <v>540</v>
      </c>
      <c r="AB86" s="42" t="s">
        <v>540</v>
      </c>
      <c r="AC86" s="40"/>
      <c r="AD86" s="43">
        <v>119.65</v>
      </c>
      <c r="AE86" s="39">
        <v>-23.05466237942122</v>
      </c>
      <c r="AF86" s="39">
        <v>30.908096280087527</v>
      </c>
      <c r="AG86" s="43" t="s">
        <v>539</v>
      </c>
      <c r="AH86" s="43">
        <v>155.5</v>
      </c>
      <c r="AI86" s="43">
        <v>91.4</v>
      </c>
      <c r="AJ86" s="39" t="s">
        <v>539</v>
      </c>
      <c r="AK86" s="39" t="s">
        <v>539</v>
      </c>
      <c r="AL86" s="44"/>
      <c r="AM86" s="43">
        <v>119.65</v>
      </c>
      <c r="AN86" s="39">
        <v>-22.706718346253229</v>
      </c>
      <c r="AO86" s="39">
        <v>32.209944751381215</v>
      </c>
      <c r="AP86" s="43" t="s">
        <v>539</v>
      </c>
      <c r="AQ86" s="43">
        <v>154.80000000000001</v>
      </c>
      <c r="AR86" s="43">
        <v>90.5</v>
      </c>
      <c r="AS86" s="39" t="s">
        <v>539</v>
      </c>
      <c r="AT86" s="39" t="s">
        <v>539</v>
      </c>
      <c r="AU86" s="1">
        <v>24079.3319242</v>
      </c>
    </row>
    <row r="87" spans="2:47" ht="18" customHeight="1" x14ac:dyDescent="0.25">
      <c r="B87" s="2">
        <f>IF(G87=$B$6,MAX(B$7:B86)+1,IF($B$6="Nifty 500 - All Sector",B86+1,0))</f>
        <v>0</v>
      </c>
      <c r="C87" s="36">
        <v>21281</v>
      </c>
      <c r="D87" s="36" t="s">
        <v>106</v>
      </c>
      <c r="E87" s="36" t="s">
        <v>527</v>
      </c>
      <c r="F87" s="36" t="s">
        <v>630</v>
      </c>
      <c r="G87" s="36" t="s">
        <v>631</v>
      </c>
      <c r="H87" s="36" t="s">
        <v>532</v>
      </c>
      <c r="I87" s="37">
        <v>46142</v>
      </c>
      <c r="J87" s="38">
        <v>9716.0600000000013</v>
      </c>
      <c r="K87" s="39">
        <v>14.462256904684502</v>
      </c>
      <c r="L87" s="39">
        <v>0.11819149495240211</v>
      </c>
      <c r="M87" s="38" t="s">
        <v>539</v>
      </c>
      <c r="N87" s="38">
        <v>8488.44</v>
      </c>
      <c r="O87" s="38">
        <v>9704.59</v>
      </c>
      <c r="P87" s="39" t="s">
        <v>540</v>
      </c>
      <c r="Q87" s="39" t="s">
        <v>540</v>
      </c>
      <c r="R87" s="40"/>
      <c r="S87" s="38">
        <v>5529.11</v>
      </c>
      <c r="T87" s="39">
        <v>56.906914942888363</v>
      </c>
      <c r="U87" s="39">
        <v>-96.967957860203313</v>
      </c>
      <c r="V87" s="38" t="s">
        <v>539</v>
      </c>
      <c r="W87" s="38">
        <v>4912.82</v>
      </c>
      <c r="X87" s="38">
        <v>5867.64</v>
      </c>
      <c r="Y87" s="39" t="s">
        <v>540</v>
      </c>
      <c r="Z87" s="39" t="s">
        <v>540</v>
      </c>
      <c r="AA87" s="41" t="s">
        <v>540</v>
      </c>
      <c r="AB87" s="42" t="s">
        <v>540</v>
      </c>
      <c r="AC87" s="40"/>
      <c r="AD87" s="43">
        <v>3124.7249999999999</v>
      </c>
      <c r="AE87" s="39">
        <v>9.4758361186437092</v>
      </c>
      <c r="AF87" s="39">
        <v>6.2033301497853577</v>
      </c>
      <c r="AG87" s="43" t="s">
        <v>539</v>
      </c>
      <c r="AH87" s="43">
        <v>2854.26</v>
      </c>
      <c r="AI87" s="43">
        <v>2942.21</v>
      </c>
      <c r="AJ87" s="39" t="s">
        <v>539</v>
      </c>
      <c r="AK87" s="39" t="s">
        <v>539</v>
      </c>
      <c r="AL87" s="44"/>
      <c r="AM87" s="43">
        <v>3124.7249999999999</v>
      </c>
      <c r="AN87" s="39">
        <v>3.6661225789756502</v>
      </c>
      <c r="AO87" s="39">
        <v>2.3288828632340053</v>
      </c>
      <c r="AP87" s="43" t="s">
        <v>539</v>
      </c>
      <c r="AQ87" s="43">
        <v>3014.22</v>
      </c>
      <c r="AR87" s="43">
        <v>3053.61</v>
      </c>
      <c r="AS87" s="39" t="s">
        <v>539</v>
      </c>
      <c r="AT87" s="39" t="s">
        <v>539</v>
      </c>
      <c r="AU87" s="1">
        <v>348957.64498307998</v>
      </c>
    </row>
    <row r="88" spans="2:47" ht="18" customHeight="1" x14ac:dyDescent="0.25">
      <c r="B88" s="2">
        <f>IF(G88=$B$6,MAX(B$7:B87)+1,IF($B$6="Nifty 500 - All Sector",B87+1,0))</f>
        <v>0</v>
      </c>
      <c r="C88" s="36">
        <v>111</v>
      </c>
      <c r="D88" s="36" t="s">
        <v>107</v>
      </c>
      <c r="E88" s="36" t="s">
        <v>533</v>
      </c>
      <c r="F88" s="36" t="s">
        <v>632</v>
      </c>
      <c r="G88" s="36" t="s">
        <v>604</v>
      </c>
      <c r="H88" s="36" t="s">
        <v>535</v>
      </c>
      <c r="I88" s="37">
        <v>46146</v>
      </c>
      <c r="J88" s="38">
        <v>4497.6777777777779</v>
      </c>
      <c r="K88" s="39">
        <v>8.132330415725697</v>
      </c>
      <c r="L88" s="39">
        <v>11.61293933751506</v>
      </c>
      <c r="M88" s="38" t="s">
        <v>539</v>
      </c>
      <c r="N88" s="38">
        <v>4159.42</v>
      </c>
      <c r="O88" s="38">
        <v>4029.71</v>
      </c>
      <c r="P88" s="39" t="s">
        <v>540</v>
      </c>
      <c r="Q88" s="39" t="s">
        <v>540</v>
      </c>
      <c r="R88" s="40"/>
      <c r="S88" s="38">
        <v>532.42222222222222</v>
      </c>
      <c r="T88" s="39">
        <v>11.837713783162176</v>
      </c>
      <c r="U88" s="39">
        <v>61.76398305437818</v>
      </c>
      <c r="V88" s="38" t="s">
        <v>539</v>
      </c>
      <c r="W88" s="38">
        <v>466.69</v>
      </c>
      <c r="X88" s="38">
        <v>469.57</v>
      </c>
      <c r="Y88" s="39" t="s">
        <v>540</v>
      </c>
      <c r="Z88" s="39" t="s">
        <v>540</v>
      </c>
      <c r="AA88" s="41" t="s">
        <v>540</v>
      </c>
      <c r="AB88" s="42" t="s">
        <v>540</v>
      </c>
      <c r="AC88" s="40"/>
      <c r="AD88" s="43">
        <v>305.31110000000001</v>
      </c>
      <c r="AE88" s="39">
        <v>19.917949725058914</v>
      </c>
      <c r="AF88" s="39">
        <v>18.475397749320919</v>
      </c>
      <c r="AG88" s="43" t="s">
        <v>539</v>
      </c>
      <c r="AH88" s="43">
        <v>254.6</v>
      </c>
      <c r="AI88" s="43">
        <v>257.7</v>
      </c>
      <c r="AJ88" s="39" t="s">
        <v>539</v>
      </c>
      <c r="AK88" s="39" t="s">
        <v>539</v>
      </c>
      <c r="AL88" s="44"/>
      <c r="AM88" s="43">
        <v>305.31110000000001</v>
      </c>
      <c r="AN88" s="39">
        <v>19.917949725058914</v>
      </c>
      <c r="AO88" s="39">
        <v>18.475397749320919</v>
      </c>
      <c r="AP88" s="43" t="s">
        <v>539</v>
      </c>
      <c r="AQ88" s="43">
        <v>254.6</v>
      </c>
      <c r="AR88" s="43">
        <v>257.7</v>
      </c>
      <c r="AS88" s="39" t="s">
        <v>539</v>
      </c>
      <c r="AT88" s="39" t="s">
        <v>539</v>
      </c>
      <c r="AU88" s="1">
        <v>28045.75</v>
      </c>
    </row>
    <row r="89" spans="2:47" ht="18" customHeight="1" x14ac:dyDescent="0.25">
      <c r="B89" s="2">
        <f>IF(G89=$B$6,MAX(B$7:B88)+1,IF($B$6="Nifty 500 - All Sector",B88+1,0))</f>
        <v>0</v>
      </c>
      <c r="C89" s="36">
        <v>218</v>
      </c>
      <c r="D89" s="36" t="s">
        <v>108</v>
      </c>
      <c r="E89" s="36" t="s">
        <v>527</v>
      </c>
      <c r="F89" s="36" t="s">
        <v>633</v>
      </c>
      <c r="G89" s="36" t="s">
        <v>591</v>
      </c>
      <c r="H89" s="36" t="s">
        <v>532</v>
      </c>
      <c r="I89" s="37">
        <v>46146</v>
      </c>
      <c r="J89" s="38">
        <v>11465.309523809525</v>
      </c>
      <c r="K89" s="39">
        <v>15.944602161573007</v>
      </c>
      <c r="L89" s="39">
        <v>11.566605107788286</v>
      </c>
      <c r="M89" s="38" t="s">
        <v>539</v>
      </c>
      <c r="N89" s="38">
        <v>9888.61</v>
      </c>
      <c r="O89" s="38">
        <v>10276.65</v>
      </c>
      <c r="P89" s="39" t="s">
        <v>540</v>
      </c>
      <c r="Q89" s="39" t="s">
        <v>540</v>
      </c>
      <c r="R89" s="40"/>
      <c r="S89" s="38">
        <v>1973.363157894737</v>
      </c>
      <c r="T89" s="39">
        <v>17.211599510651997</v>
      </c>
      <c r="U89" s="39">
        <v>-167.42701919654587</v>
      </c>
      <c r="V89" s="38" t="s">
        <v>539</v>
      </c>
      <c r="W89" s="38">
        <v>1867.55</v>
      </c>
      <c r="X89" s="38">
        <v>1353.07</v>
      </c>
      <c r="Y89" s="39" t="s">
        <v>540</v>
      </c>
      <c r="Z89" s="39" t="s">
        <v>540</v>
      </c>
      <c r="AA89" s="41" t="s">
        <v>540</v>
      </c>
      <c r="AB89" s="42" t="s">
        <v>540</v>
      </c>
      <c r="AC89" s="40"/>
      <c r="AD89" s="43">
        <v>492.3</v>
      </c>
      <c r="AE89" s="39">
        <v>-61.466209552435068</v>
      </c>
      <c r="AF89" s="39">
        <v>36.054609772275057</v>
      </c>
      <c r="AG89" s="43" t="s">
        <v>539</v>
      </c>
      <c r="AH89" s="43">
        <v>1277.58</v>
      </c>
      <c r="AI89" s="43">
        <v>361.84</v>
      </c>
      <c r="AJ89" s="39" t="s">
        <v>539</v>
      </c>
      <c r="AK89" s="39" t="s">
        <v>539</v>
      </c>
      <c r="AL89" s="44"/>
      <c r="AM89" s="43">
        <v>492.3</v>
      </c>
      <c r="AN89" s="39">
        <v>-48.518723791397825</v>
      </c>
      <c r="AO89" s="39">
        <v>141.67893961708398</v>
      </c>
      <c r="AP89" s="43" t="s">
        <v>539</v>
      </c>
      <c r="AQ89" s="43">
        <v>956.27</v>
      </c>
      <c r="AR89" s="43">
        <v>203.7</v>
      </c>
      <c r="AS89" s="39" t="s">
        <v>539</v>
      </c>
      <c r="AT89" s="39" t="s">
        <v>539</v>
      </c>
      <c r="AU89" s="1">
        <v>105986.97875318</v>
      </c>
    </row>
    <row r="90" spans="2:47" ht="18" customHeight="1" x14ac:dyDescent="0.25">
      <c r="B90" s="2">
        <f>IF(G90=$B$6,MAX(B$7:B89)+1,IF($B$6="Nifty 500 - All Sector",B89+1,0))</f>
        <v>0</v>
      </c>
      <c r="C90" s="36">
        <v>47716</v>
      </c>
      <c r="D90" s="36" t="s">
        <v>109</v>
      </c>
      <c r="E90" s="36" t="s">
        <v>527</v>
      </c>
      <c r="F90" s="36" t="s">
        <v>634</v>
      </c>
      <c r="G90" s="36" t="s">
        <v>2</v>
      </c>
      <c r="H90" s="36" t="s">
        <v>529</v>
      </c>
      <c r="I90" s="37">
        <v>46146</v>
      </c>
      <c r="J90" s="38">
        <v>394.9</v>
      </c>
      <c r="K90" s="39">
        <v>10.875266027638798</v>
      </c>
      <c r="L90" s="39">
        <v>1.2203342911116133</v>
      </c>
      <c r="M90" s="38" t="s">
        <v>539</v>
      </c>
      <c r="N90" s="38">
        <v>356.166</v>
      </c>
      <c r="O90" s="38">
        <v>390.13900000000001</v>
      </c>
      <c r="P90" s="39" t="s">
        <v>540</v>
      </c>
      <c r="Q90" s="39" t="s">
        <v>540</v>
      </c>
      <c r="R90" s="40"/>
      <c r="S90" s="38">
        <v>176.9</v>
      </c>
      <c r="T90" s="39">
        <v>44.796150924284632</v>
      </c>
      <c r="U90" s="39">
        <v>4.651171110874941</v>
      </c>
      <c r="V90" s="38" t="s">
        <v>539</v>
      </c>
      <c r="W90" s="38">
        <v>159.38300000000001</v>
      </c>
      <c r="X90" s="38">
        <v>178.899</v>
      </c>
      <c r="Y90" s="39" t="s">
        <v>540</v>
      </c>
      <c r="Z90" s="39" t="s">
        <v>540</v>
      </c>
      <c r="AA90" s="41" t="s">
        <v>540</v>
      </c>
      <c r="AB90" s="42" t="s">
        <v>540</v>
      </c>
      <c r="AC90" s="40"/>
      <c r="AD90" s="43">
        <v>120.55</v>
      </c>
      <c r="AE90" s="39">
        <v>6.8667777738377955</v>
      </c>
      <c r="AF90" s="39">
        <v>-3.2892097874047455</v>
      </c>
      <c r="AG90" s="43" t="s">
        <v>539</v>
      </c>
      <c r="AH90" s="43">
        <v>112.804</v>
      </c>
      <c r="AI90" s="43">
        <v>124.65</v>
      </c>
      <c r="AJ90" s="39" t="s">
        <v>539</v>
      </c>
      <c r="AK90" s="39" t="s">
        <v>539</v>
      </c>
      <c r="AL90" s="44"/>
      <c r="AM90" s="43">
        <v>120.55</v>
      </c>
      <c r="AN90" s="39">
        <v>5.7261381675305367</v>
      </c>
      <c r="AO90" s="39">
        <v>-3.9740638367359971</v>
      </c>
      <c r="AP90" s="43" t="s">
        <v>539</v>
      </c>
      <c r="AQ90" s="43">
        <v>114.021</v>
      </c>
      <c r="AR90" s="43">
        <v>125.539</v>
      </c>
      <c r="AS90" s="39" t="s">
        <v>539</v>
      </c>
      <c r="AT90" s="39" t="s">
        <v>539</v>
      </c>
      <c r="AU90" s="1">
        <v>18060.710989340001</v>
      </c>
    </row>
    <row r="91" spans="2:47" ht="18" customHeight="1" x14ac:dyDescent="0.25">
      <c r="B91" s="2">
        <f>IF(G91=$B$6,MAX(B$7:B90)+1,IF($B$6="Nifty 500 - All Sector",B90+1,0))</f>
        <v>14</v>
      </c>
      <c r="C91" s="36">
        <v>18295</v>
      </c>
      <c r="D91" s="36" t="s">
        <v>110</v>
      </c>
      <c r="E91" s="36" t="s">
        <v>527</v>
      </c>
      <c r="F91" s="36" t="s">
        <v>635</v>
      </c>
      <c r="G91" s="36" t="s">
        <v>531</v>
      </c>
      <c r="H91" s="36" t="s">
        <v>529</v>
      </c>
      <c r="I91" s="37">
        <v>46146</v>
      </c>
      <c r="J91" s="38">
        <v>1517.0875000000001</v>
      </c>
      <c r="K91" s="39">
        <v>18.001594524170649</v>
      </c>
      <c r="L91" s="39">
        <v>11.082534615187489</v>
      </c>
      <c r="M91" s="38" t="s">
        <v>539</v>
      </c>
      <c r="N91" s="38">
        <v>1285.6500000000001</v>
      </c>
      <c r="O91" s="38">
        <v>1365.73</v>
      </c>
      <c r="P91" s="39" t="s">
        <v>540</v>
      </c>
      <c r="Q91" s="39" t="s">
        <v>540</v>
      </c>
      <c r="R91" s="40"/>
      <c r="S91" s="38">
        <v>249.3</v>
      </c>
      <c r="T91" s="39">
        <v>16.432802985984658</v>
      </c>
      <c r="U91" s="39">
        <v>-172.2215876069555</v>
      </c>
      <c r="V91" s="38" t="s">
        <v>539</v>
      </c>
      <c r="W91" s="38">
        <v>233.41</v>
      </c>
      <c r="X91" s="38">
        <v>192.85</v>
      </c>
      <c r="Y91" s="39" t="s">
        <v>540</v>
      </c>
      <c r="Z91" s="39" t="s">
        <v>540</v>
      </c>
      <c r="AA91" s="41" t="s">
        <v>540</v>
      </c>
      <c r="AB91" s="42" t="s">
        <v>540</v>
      </c>
      <c r="AC91" s="40"/>
      <c r="AD91" s="43">
        <v>188.2833</v>
      </c>
      <c r="AE91" s="39">
        <v>1.6045005666180945</v>
      </c>
      <c r="AF91" s="39" t="s">
        <v>547</v>
      </c>
      <c r="AG91" s="43" t="s">
        <v>539</v>
      </c>
      <c r="AH91" s="43">
        <v>185.31</v>
      </c>
      <c r="AI91" s="43">
        <v>-0.62999999999990997</v>
      </c>
      <c r="AJ91" s="39" t="s">
        <v>539</v>
      </c>
      <c r="AK91" s="39" t="s">
        <v>547</v>
      </c>
      <c r="AL91" s="44"/>
      <c r="AM91" s="43">
        <v>188.2833</v>
      </c>
      <c r="AN91" s="39">
        <v>-0.31063694604754888</v>
      </c>
      <c r="AO91" s="39">
        <v>2735.5918674698796</v>
      </c>
      <c r="AP91" s="43" t="s">
        <v>539</v>
      </c>
      <c r="AQ91" s="43">
        <v>188.87</v>
      </c>
      <c r="AR91" s="43">
        <v>6.64</v>
      </c>
      <c r="AS91" s="39" t="s">
        <v>539</v>
      </c>
      <c r="AT91" s="39" t="s">
        <v>539</v>
      </c>
      <c r="AU91" s="1">
        <v>23382.494630550002</v>
      </c>
    </row>
    <row r="92" spans="2:47" ht="18" customHeight="1" x14ac:dyDescent="0.25">
      <c r="B92" s="2">
        <f>IF(G92=$B$6,MAX(B$7:B91)+1,IF($B$6="Nifty 500 - All Sector",B91+1,0))</f>
        <v>15</v>
      </c>
      <c r="C92" s="36">
        <v>39858</v>
      </c>
      <c r="D92" s="36" t="s">
        <v>111</v>
      </c>
      <c r="E92" s="36" t="s">
        <v>527</v>
      </c>
      <c r="F92" s="36" t="s">
        <v>636</v>
      </c>
      <c r="G92" s="36" t="s">
        <v>531</v>
      </c>
      <c r="H92" s="36" t="s">
        <v>529</v>
      </c>
      <c r="I92" s="37">
        <v>46146</v>
      </c>
      <c r="J92" s="38">
        <v>333.2</v>
      </c>
      <c r="K92" s="39">
        <v>43.511200506510114</v>
      </c>
      <c r="L92" s="39">
        <v>19.852234999586326</v>
      </c>
      <c r="M92" s="38" t="s">
        <v>539</v>
      </c>
      <c r="N92" s="38">
        <v>232.17699999999999</v>
      </c>
      <c r="O92" s="38">
        <v>278.00900000000001</v>
      </c>
      <c r="P92" s="39" t="s">
        <v>540</v>
      </c>
      <c r="Q92" s="39" t="s">
        <v>540</v>
      </c>
      <c r="R92" s="40"/>
      <c r="S92" s="38">
        <v>77.599999999999994</v>
      </c>
      <c r="T92" s="39">
        <v>23.289315726290518</v>
      </c>
      <c r="U92" s="39">
        <v>-36.67742395545055</v>
      </c>
      <c r="V92" s="38" t="s">
        <v>539</v>
      </c>
      <c r="W92" s="38">
        <v>54.923999999999999</v>
      </c>
      <c r="X92" s="38">
        <v>62.146999999999998</v>
      </c>
      <c r="Y92" s="39" t="s">
        <v>540</v>
      </c>
      <c r="Z92" s="39" t="s">
        <v>540</v>
      </c>
      <c r="AA92" s="41" t="s">
        <v>540</v>
      </c>
      <c r="AB92" s="42" t="s">
        <v>540</v>
      </c>
      <c r="AC92" s="40"/>
      <c r="AD92" s="43">
        <v>66.400000000000006</v>
      </c>
      <c r="AE92" s="39">
        <v>29.543281893204853</v>
      </c>
      <c r="AF92" s="39">
        <v>30.783321187291968</v>
      </c>
      <c r="AG92" s="43" t="s">
        <v>539</v>
      </c>
      <c r="AH92" s="43">
        <v>51.256999999999998</v>
      </c>
      <c r="AI92" s="43">
        <v>50.771000000000001</v>
      </c>
      <c r="AJ92" s="39" t="s">
        <v>539</v>
      </c>
      <c r="AK92" s="39" t="s">
        <v>539</v>
      </c>
      <c r="AL92" s="44"/>
      <c r="AM92" s="43">
        <v>66.400000000000006</v>
      </c>
      <c r="AN92" s="39">
        <v>24.16785099857881</v>
      </c>
      <c r="AO92" s="39">
        <v>32.42391607833752</v>
      </c>
      <c r="AP92" s="43" t="s">
        <v>539</v>
      </c>
      <c r="AQ92" s="43">
        <v>53.475999999999999</v>
      </c>
      <c r="AR92" s="43">
        <v>50.142000000000003</v>
      </c>
      <c r="AS92" s="39" t="s">
        <v>539</v>
      </c>
      <c r="AT92" s="39" t="s">
        <v>539</v>
      </c>
      <c r="AU92" s="1">
        <v>6259.4806449999996</v>
      </c>
    </row>
    <row r="93" spans="2:47" ht="18" customHeight="1" x14ac:dyDescent="0.25">
      <c r="B93" s="2">
        <f>IF(G93=$B$6,MAX(B$7:B92)+1,IF($B$6="Nifty 500 - All Sector",B92+1,0))</f>
        <v>0</v>
      </c>
      <c r="C93" s="36">
        <v>365</v>
      </c>
      <c r="D93" s="36" t="s">
        <v>112</v>
      </c>
      <c r="E93" s="36" t="s">
        <v>533</v>
      </c>
      <c r="F93" s="36" t="s">
        <v>637</v>
      </c>
      <c r="G93" s="36" t="s">
        <v>604</v>
      </c>
      <c r="H93" s="36" t="s">
        <v>532</v>
      </c>
      <c r="I93" s="37">
        <v>46147</v>
      </c>
      <c r="J93" s="38">
        <v>37278.466666666667</v>
      </c>
      <c r="K93" s="39">
        <v>17.937473062506793</v>
      </c>
      <c r="L93" s="39">
        <v>-4.2709626667933538</v>
      </c>
      <c r="M93" s="38" t="s">
        <v>539</v>
      </c>
      <c r="N93" s="38">
        <v>31608.67</v>
      </c>
      <c r="O93" s="38">
        <v>38941.65</v>
      </c>
      <c r="P93" s="39" t="s">
        <v>540</v>
      </c>
      <c r="Q93" s="39" t="s">
        <v>540</v>
      </c>
      <c r="R93" s="40"/>
      <c r="S93" s="38">
        <v>5306.0375000000004</v>
      </c>
      <c r="T93" s="39">
        <v>14.233518635423131</v>
      </c>
      <c r="U93" s="39">
        <v>88.512403356231147</v>
      </c>
      <c r="V93" s="38" t="s">
        <v>539</v>
      </c>
      <c r="W93" s="38">
        <v>4219.25</v>
      </c>
      <c r="X93" s="38">
        <v>5717.41</v>
      </c>
      <c r="Y93" s="39" t="s">
        <v>540</v>
      </c>
      <c r="Z93" s="39" t="s">
        <v>540</v>
      </c>
      <c r="AA93" s="41" t="s">
        <v>540</v>
      </c>
      <c r="AB93" s="42" t="s">
        <v>540</v>
      </c>
      <c r="AC93" s="40"/>
      <c r="AD93" s="43">
        <v>3486.8444000000004</v>
      </c>
      <c r="AE93" s="39">
        <v>43.071157176034227</v>
      </c>
      <c r="AF93" s="39">
        <v>-11.305563045303069</v>
      </c>
      <c r="AG93" s="43" t="s">
        <v>539</v>
      </c>
      <c r="AH93" s="43">
        <v>2437.14</v>
      </c>
      <c r="AI93" s="43">
        <v>3931.3</v>
      </c>
      <c r="AJ93" s="39" t="s">
        <v>539</v>
      </c>
      <c r="AK93" s="39" t="s">
        <v>539</v>
      </c>
      <c r="AL93" s="44"/>
      <c r="AM93" s="43">
        <v>3486.8444000000004</v>
      </c>
      <c r="AN93" s="39">
        <v>43.071157176034227</v>
      </c>
      <c r="AO93" s="39">
        <v>-11.305563045303069</v>
      </c>
      <c r="AP93" s="43" t="s">
        <v>539</v>
      </c>
      <c r="AQ93" s="43">
        <v>2437.14</v>
      </c>
      <c r="AR93" s="43">
        <v>3931.3</v>
      </c>
      <c r="AS93" s="39" t="s">
        <v>539</v>
      </c>
      <c r="AT93" s="39" t="s">
        <v>539</v>
      </c>
      <c r="AU93" s="1">
        <v>404905.42266191001</v>
      </c>
    </row>
    <row r="94" spans="2:47" ht="18" customHeight="1" x14ac:dyDescent="0.25">
      <c r="B94" s="2">
        <f>IF(G94=$B$6,MAX(B$7:B93)+1,IF($B$6="Nifty 500 - All Sector",B93+1,0))</f>
        <v>0</v>
      </c>
      <c r="C94" s="36">
        <v>23220</v>
      </c>
      <c r="D94" s="36" t="s">
        <v>113</v>
      </c>
      <c r="E94" s="36" t="s">
        <v>533</v>
      </c>
      <c r="F94" s="36" t="s">
        <v>638</v>
      </c>
      <c r="G94" s="36" t="s">
        <v>563</v>
      </c>
      <c r="H94" s="36" t="s">
        <v>535</v>
      </c>
      <c r="I94" s="37">
        <v>46147</v>
      </c>
      <c r="J94" s="38">
        <v>2488.33</v>
      </c>
      <c r="K94" s="39">
        <v>7.1927663094048411</v>
      </c>
      <c r="L94" s="39">
        <v>20.130252587671848</v>
      </c>
      <c r="M94" s="38" t="s">
        <v>539</v>
      </c>
      <c r="N94" s="38">
        <v>2321.3599999999997</v>
      </c>
      <c r="O94" s="38">
        <v>2071.36</v>
      </c>
      <c r="P94" s="39" t="s">
        <v>540</v>
      </c>
      <c r="Q94" s="39" t="s">
        <v>540</v>
      </c>
      <c r="R94" s="40"/>
      <c r="S94" s="38">
        <v>214.81428571428569</v>
      </c>
      <c r="T94" s="39">
        <v>8.6328696641637457</v>
      </c>
      <c r="U94" s="39">
        <v>61.041730864801202</v>
      </c>
      <c r="V94" s="38" t="s">
        <v>539</v>
      </c>
      <c r="W94" s="38">
        <v>186.23</v>
      </c>
      <c r="X94" s="38">
        <v>225.48000000000101</v>
      </c>
      <c r="Y94" s="39" t="s">
        <v>540</v>
      </c>
      <c r="Z94" s="39" t="s">
        <v>540</v>
      </c>
      <c r="AA94" s="41" t="s">
        <v>540</v>
      </c>
      <c r="AB94" s="42" t="s">
        <v>540</v>
      </c>
      <c r="AC94" s="40"/>
      <c r="AD94" s="43">
        <v>121.4571</v>
      </c>
      <c r="AE94" s="39">
        <v>24.724892174984213</v>
      </c>
      <c r="AF94" s="39">
        <v>50.26240257330015</v>
      </c>
      <c r="AG94" s="43" t="s">
        <v>539</v>
      </c>
      <c r="AH94" s="43">
        <v>97.380000000000294</v>
      </c>
      <c r="AI94" s="43">
        <v>80.830000000000993</v>
      </c>
      <c r="AJ94" s="39" t="s">
        <v>539</v>
      </c>
      <c r="AK94" s="39" t="s">
        <v>539</v>
      </c>
      <c r="AL94" s="44"/>
      <c r="AM94" s="43">
        <v>121.4571</v>
      </c>
      <c r="AN94" s="39">
        <v>24.724892174984213</v>
      </c>
      <c r="AO94" s="39">
        <v>50.26240257330015</v>
      </c>
      <c r="AP94" s="43" t="s">
        <v>539</v>
      </c>
      <c r="AQ94" s="43">
        <v>97.380000000000294</v>
      </c>
      <c r="AR94" s="43">
        <v>80.830000000000993</v>
      </c>
      <c r="AS94" s="39" t="s">
        <v>539</v>
      </c>
      <c r="AT94" s="39" t="s">
        <v>539</v>
      </c>
      <c r="AU94" s="1">
        <v>38884.743237684997</v>
      </c>
    </row>
    <row r="95" spans="2:47" ht="18" customHeight="1" x14ac:dyDescent="0.25">
      <c r="B95" s="2">
        <f>IF(G95=$B$6,MAX(B$7:B94)+1,IF($B$6="Nifty 500 - All Sector",B94+1,0))</f>
        <v>0</v>
      </c>
      <c r="C95" s="36">
        <v>5023</v>
      </c>
      <c r="D95" s="36" t="s">
        <v>114</v>
      </c>
      <c r="E95" s="36" t="s">
        <v>533</v>
      </c>
      <c r="F95" s="36" t="s">
        <v>639</v>
      </c>
      <c r="G95" s="36" t="s">
        <v>2</v>
      </c>
      <c r="H95" s="36" t="s">
        <v>529</v>
      </c>
      <c r="I95" s="37">
        <v>46147</v>
      </c>
      <c r="J95" s="38">
        <v>1156.6500000000001</v>
      </c>
      <c r="K95" s="39">
        <v>63.394030145926635</v>
      </c>
      <c r="L95" s="39">
        <v>7.1259875336896039</v>
      </c>
      <c r="M95" s="38" t="s">
        <v>539</v>
      </c>
      <c r="N95" s="38">
        <v>707.89</v>
      </c>
      <c r="O95" s="38">
        <v>1079.71</v>
      </c>
      <c r="P95" s="39" t="s">
        <v>540</v>
      </c>
      <c r="Q95" s="39" t="s">
        <v>540</v>
      </c>
      <c r="R95" s="40"/>
      <c r="S95" s="38" t="s">
        <v>539</v>
      </c>
      <c r="T95" s="39" t="s">
        <v>540</v>
      </c>
      <c r="U95" s="39" t="s">
        <v>540</v>
      </c>
      <c r="V95" s="38" t="s">
        <v>539</v>
      </c>
      <c r="W95" s="38">
        <v>0</v>
      </c>
      <c r="X95" s="38">
        <v>0</v>
      </c>
      <c r="Y95" s="39" t="s">
        <v>540</v>
      </c>
      <c r="Z95" s="39" t="s">
        <v>540</v>
      </c>
      <c r="AA95" s="41" t="s">
        <v>540</v>
      </c>
      <c r="AB95" s="42" t="s">
        <v>540</v>
      </c>
      <c r="AC95" s="40"/>
      <c r="AD95" s="43">
        <v>208.1</v>
      </c>
      <c r="AE95" s="39">
        <v>233.86812128990857</v>
      </c>
      <c r="AF95" s="39">
        <v>38.530155771535071</v>
      </c>
      <c r="AG95" s="43" t="s">
        <v>540</v>
      </c>
      <c r="AH95" s="43">
        <v>62.33</v>
      </c>
      <c r="AI95" s="43">
        <v>150.22</v>
      </c>
      <c r="AJ95" s="39" t="s">
        <v>539</v>
      </c>
      <c r="AK95" s="39" t="s">
        <v>539</v>
      </c>
      <c r="AL95" s="44"/>
      <c r="AM95" s="43">
        <v>208.1</v>
      </c>
      <c r="AN95" s="39">
        <v>233.86812128990857</v>
      </c>
      <c r="AO95" s="39">
        <v>38.530155771535071</v>
      </c>
      <c r="AP95" s="43" t="s">
        <v>539</v>
      </c>
      <c r="AQ95" s="43">
        <v>62.33</v>
      </c>
      <c r="AR95" s="43">
        <v>150.22</v>
      </c>
      <c r="AS95" s="39" t="s">
        <v>539</v>
      </c>
      <c r="AT95" s="39" t="s">
        <v>539</v>
      </c>
      <c r="AU95" s="1">
        <v>36490.703267154997</v>
      </c>
    </row>
    <row r="96" spans="2:47" ht="18" customHeight="1" x14ac:dyDescent="0.25">
      <c r="B96" s="2">
        <f>IF(G96=$B$6,MAX(B$7:B95)+1,IF($B$6="Nifty 500 - All Sector",B95+1,0))</f>
        <v>16</v>
      </c>
      <c r="C96" s="36">
        <v>24978</v>
      </c>
      <c r="D96" s="36" t="s">
        <v>115</v>
      </c>
      <c r="E96" s="36" t="s">
        <v>527</v>
      </c>
      <c r="F96" s="36" t="s">
        <v>640</v>
      </c>
      <c r="G96" s="36" t="s">
        <v>531</v>
      </c>
      <c r="H96" s="36" t="s">
        <v>535</v>
      </c>
      <c r="I96" s="37">
        <v>46147</v>
      </c>
      <c r="J96" s="38">
        <v>4411.2294117647052</v>
      </c>
      <c r="K96" s="39">
        <v>29.36536003298351</v>
      </c>
      <c r="L96" s="39">
        <v>5.3277001925623679</v>
      </c>
      <c r="M96" s="38" t="s">
        <v>539</v>
      </c>
      <c r="N96" s="38">
        <v>3409.9</v>
      </c>
      <c r="O96" s="38">
        <v>4188.1000000000004</v>
      </c>
      <c r="P96" s="39" t="s">
        <v>540</v>
      </c>
      <c r="Q96" s="39" t="s">
        <v>540</v>
      </c>
      <c r="R96" s="40"/>
      <c r="S96" s="38">
        <v>819.59411764705897</v>
      </c>
      <c r="T96" s="39">
        <v>18.579721006148752</v>
      </c>
      <c r="U96" s="39">
        <v>312.47223258355456</v>
      </c>
      <c r="V96" s="38" t="s">
        <v>539</v>
      </c>
      <c r="W96" s="38">
        <v>527</v>
      </c>
      <c r="X96" s="38">
        <v>730.2</v>
      </c>
      <c r="Y96" s="39" t="s">
        <v>540</v>
      </c>
      <c r="Z96" s="39" t="s">
        <v>540</v>
      </c>
      <c r="AA96" s="41" t="s">
        <v>540</v>
      </c>
      <c r="AB96" s="42" t="s">
        <v>540</v>
      </c>
      <c r="AC96" s="40"/>
      <c r="AD96" s="43">
        <v>430.3526</v>
      </c>
      <c r="AE96" s="39">
        <v>40.684079764628976</v>
      </c>
      <c r="AF96" s="39">
        <v>45.0463768115942</v>
      </c>
      <c r="AG96" s="43" t="s">
        <v>539</v>
      </c>
      <c r="AH96" s="43">
        <v>305.89999999999998</v>
      </c>
      <c r="AI96" s="43">
        <v>296.7</v>
      </c>
      <c r="AJ96" s="39" t="s">
        <v>539</v>
      </c>
      <c r="AK96" s="39" t="s">
        <v>539</v>
      </c>
      <c r="AL96" s="44"/>
      <c r="AM96" s="43">
        <v>430.3526</v>
      </c>
      <c r="AN96" s="39">
        <v>64.759800918836149</v>
      </c>
      <c r="AO96" s="39">
        <v>72.003437250199838</v>
      </c>
      <c r="AP96" s="43" t="s">
        <v>539</v>
      </c>
      <c r="AQ96" s="43">
        <v>261.2</v>
      </c>
      <c r="AR96" s="43">
        <v>250.2</v>
      </c>
      <c r="AS96" s="39" t="s">
        <v>539</v>
      </c>
      <c r="AT96" s="39" t="s">
        <v>539</v>
      </c>
      <c r="AU96" s="1">
        <v>43061.036451510001</v>
      </c>
    </row>
    <row r="97" spans="2:47" ht="18" customHeight="1" x14ac:dyDescent="0.25">
      <c r="B97" s="2">
        <f>IF(G97=$B$6,MAX(B$7:B96)+1,IF($B$6="Nifty 500 - All Sector",B96+1,0))</f>
        <v>0</v>
      </c>
      <c r="C97" s="36">
        <v>28074</v>
      </c>
      <c r="D97" s="36" t="s">
        <v>116</v>
      </c>
      <c r="E97" s="36" t="s">
        <v>533</v>
      </c>
      <c r="F97" s="36" t="s">
        <v>641</v>
      </c>
      <c r="G97" s="36" t="s">
        <v>604</v>
      </c>
      <c r="H97" s="36" t="s">
        <v>532</v>
      </c>
      <c r="I97" s="37">
        <v>46148</v>
      </c>
      <c r="J97" s="38">
        <v>15366.28095238095</v>
      </c>
      <c r="K97" s="39">
        <v>26.492582319358291</v>
      </c>
      <c r="L97" s="39">
        <v>0.95892107714452557</v>
      </c>
      <c r="M97" s="38" t="s">
        <v>539</v>
      </c>
      <c r="N97" s="38">
        <v>12147.970000000001</v>
      </c>
      <c r="O97" s="38">
        <v>15220.33</v>
      </c>
      <c r="P97" s="39" t="s">
        <v>540</v>
      </c>
      <c r="Q97" s="39" t="s">
        <v>540</v>
      </c>
      <c r="R97" s="40"/>
      <c r="S97" s="38">
        <v>3177.7599999999998</v>
      </c>
      <c r="T97" s="39">
        <v>20.680085245399717</v>
      </c>
      <c r="U97" s="39">
        <v>50.724978400164034</v>
      </c>
      <c r="V97" s="38" t="s">
        <v>539</v>
      </c>
      <c r="W97" s="38">
        <v>2450.59</v>
      </c>
      <c r="X97" s="38">
        <v>3160.5</v>
      </c>
      <c r="Y97" s="39" t="s">
        <v>540</v>
      </c>
      <c r="Z97" s="39" t="s">
        <v>540</v>
      </c>
      <c r="AA97" s="41" t="s">
        <v>540</v>
      </c>
      <c r="AB97" s="42" t="s">
        <v>540</v>
      </c>
      <c r="AC97" s="40"/>
      <c r="AD97" s="43">
        <v>2586.5150000000003</v>
      </c>
      <c r="AE97" s="39">
        <v>26.213945181548937</v>
      </c>
      <c r="AF97" s="39">
        <v>3.3444408484863075</v>
      </c>
      <c r="AG97" s="43" t="s">
        <v>539</v>
      </c>
      <c r="AH97" s="43">
        <v>2049.31</v>
      </c>
      <c r="AI97" s="43">
        <v>2502.81</v>
      </c>
      <c r="AJ97" s="39" t="s">
        <v>539</v>
      </c>
      <c r="AK97" s="39" t="s">
        <v>539</v>
      </c>
      <c r="AL97" s="44"/>
      <c r="AM97" s="43">
        <v>2586.5150000000003</v>
      </c>
      <c r="AN97" s="39">
        <v>26.213945181548937</v>
      </c>
      <c r="AO97" s="39">
        <v>3.3444408484863075</v>
      </c>
      <c r="AP97" s="43" t="s">
        <v>539</v>
      </c>
      <c r="AQ97" s="43">
        <v>2049.31</v>
      </c>
      <c r="AR97" s="43">
        <v>2502.81</v>
      </c>
      <c r="AS97" s="39" t="s">
        <v>539</v>
      </c>
      <c r="AT97" s="39" t="s">
        <v>539</v>
      </c>
      <c r="AU97" s="1">
        <v>275612.81805180002</v>
      </c>
    </row>
    <row r="98" spans="2:47" ht="18" customHeight="1" x14ac:dyDescent="0.25">
      <c r="B98" s="2">
        <f>IF(G98=$B$6,MAX(B$7:B97)+1,IF($B$6="Nifty 500 - All Sector",B97+1,0))</f>
        <v>0</v>
      </c>
      <c r="C98" s="36">
        <v>508</v>
      </c>
      <c r="D98" s="36" t="s">
        <v>117</v>
      </c>
      <c r="E98" s="36" t="s">
        <v>533</v>
      </c>
      <c r="F98" s="36" t="s">
        <v>642</v>
      </c>
      <c r="G98" s="36" t="s">
        <v>591</v>
      </c>
      <c r="H98" s="36" t="s">
        <v>532</v>
      </c>
      <c r="I98" s="37">
        <v>46148</v>
      </c>
      <c r="J98" s="38">
        <v>5323.6777777777779</v>
      </c>
      <c r="K98" s="39">
        <v>1.5939959309900997</v>
      </c>
      <c r="L98" s="39">
        <v>20.543651665223805</v>
      </c>
      <c r="M98" s="38" t="s">
        <v>539</v>
      </c>
      <c r="N98" s="38">
        <v>5240.1499999999996</v>
      </c>
      <c r="O98" s="38">
        <v>4416.3900000000003</v>
      </c>
      <c r="P98" s="39" t="s">
        <v>540</v>
      </c>
      <c r="Q98" s="39" t="s">
        <v>540</v>
      </c>
      <c r="R98" s="40"/>
      <c r="S98" s="38">
        <v>1197.7157894736843</v>
      </c>
      <c r="T98" s="39">
        <v>22.497901628705215</v>
      </c>
      <c r="U98" s="39">
        <v>-386.18399817448682</v>
      </c>
      <c r="V98" s="38" t="s">
        <v>539</v>
      </c>
      <c r="W98" s="38">
        <v>1381.29</v>
      </c>
      <c r="X98" s="38">
        <v>860.53</v>
      </c>
      <c r="Y98" s="39" t="s">
        <v>540</v>
      </c>
      <c r="Z98" s="39" t="s">
        <v>540</v>
      </c>
      <c r="AA98" s="41" t="s">
        <v>540</v>
      </c>
      <c r="AB98" s="42" t="s">
        <v>540</v>
      </c>
      <c r="AC98" s="40"/>
      <c r="AD98" s="43">
        <v>467.46249999999998</v>
      </c>
      <c r="AE98" s="39">
        <v>-15.920986366416068</v>
      </c>
      <c r="AF98" s="39">
        <v>67.783819676249934</v>
      </c>
      <c r="AG98" s="43" t="s">
        <v>539</v>
      </c>
      <c r="AH98" s="43">
        <v>555.98</v>
      </c>
      <c r="AI98" s="43">
        <v>278.61</v>
      </c>
      <c r="AJ98" s="39" t="s">
        <v>539</v>
      </c>
      <c r="AK98" s="39" t="s">
        <v>539</v>
      </c>
      <c r="AL98" s="44"/>
      <c r="AM98" s="43">
        <v>467.46249999999998</v>
      </c>
      <c r="AN98" s="39">
        <v>-15.920986366416068</v>
      </c>
      <c r="AO98" s="39">
        <v>67.783819676249934</v>
      </c>
      <c r="AP98" s="43" t="s">
        <v>539</v>
      </c>
      <c r="AQ98" s="43">
        <v>555.98</v>
      </c>
      <c r="AR98" s="43">
        <v>278.61</v>
      </c>
      <c r="AS98" s="39" t="s">
        <v>539</v>
      </c>
      <c r="AT98" s="39" t="s">
        <v>539</v>
      </c>
      <c r="AU98" s="1">
        <v>90059.711852880006</v>
      </c>
    </row>
    <row r="99" spans="2:47" ht="18" customHeight="1" x14ac:dyDescent="0.25">
      <c r="B99" s="2">
        <f>IF(G99=$B$6,MAX(B$7:B98)+1,IF($B$6="Nifty 500 - All Sector",B98+1,0))</f>
        <v>0</v>
      </c>
      <c r="C99" s="36">
        <v>82</v>
      </c>
      <c r="D99" s="36" t="s">
        <v>118</v>
      </c>
      <c r="E99" s="36" t="s">
        <v>527</v>
      </c>
      <c r="F99" s="36" t="s">
        <v>643</v>
      </c>
      <c r="G99" s="36" t="s">
        <v>644</v>
      </c>
      <c r="H99" s="36" t="s">
        <v>535</v>
      </c>
      <c r="I99" s="37">
        <v>46148</v>
      </c>
      <c r="J99" s="38">
        <v>4362.0133333333342</v>
      </c>
      <c r="K99" s="39">
        <v>8.5358732939201829</v>
      </c>
      <c r="L99" s="39">
        <v>49.112857554697939</v>
      </c>
      <c r="M99" s="38" t="s">
        <v>539</v>
      </c>
      <c r="N99" s="38">
        <v>4018.96</v>
      </c>
      <c r="O99" s="38">
        <v>2925.31</v>
      </c>
      <c r="P99" s="39" t="s">
        <v>540</v>
      </c>
      <c r="Q99" s="39" t="s">
        <v>540</v>
      </c>
      <c r="R99" s="40"/>
      <c r="S99" s="38">
        <v>307.2076923076923</v>
      </c>
      <c r="T99" s="39">
        <v>7.0427958108264743</v>
      </c>
      <c r="U99" s="39">
        <v>9.0748515008674424</v>
      </c>
      <c r="V99" s="38" t="s">
        <v>539</v>
      </c>
      <c r="W99" s="38">
        <v>279.39999999999901</v>
      </c>
      <c r="X99" s="38">
        <v>220.73</v>
      </c>
      <c r="Y99" s="39" t="s">
        <v>540</v>
      </c>
      <c r="Z99" s="39" t="s">
        <v>540</v>
      </c>
      <c r="AA99" s="41" t="s">
        <v>540</v>
      </c>
      <c r="AB99" s="42" t="s">
        <v>540</v>
      </c>
      <c r="AC99" s="40"/>
      <c r="AD99" s="43">
        <v>190.0778</v>
      </c>
      <c r="AE99" s="39">
        <v>-2.2233539094645205</v>
      </c>
      <c r="AF99" s="39">
        <v>133.97070408665627</v>
      </c>
      <c r="AG99" s="43" t="s">
        <v>539</v>
      </c>
      <c r="AH99" s="43">
        <v>194.39999999999901</v>
      </c>
      <c r="AI99" s="43">
        <v>81.240000000000194</v>
      </c>
      <c r="AJ99" s="39" t="s">
        <v>539</v>
      </c>
      <c r="AK99" s="39" t="s">
        <v>539</v>
      </c>
      <c r="AL99" s="44"/>
      <c r="AM99" s="43">
        <v>190.0778</v>
      </c>
      <c r="AN99" s="39">
        <v>-1.839599256351987</v>
      </c>
      <c r="AO99" s="39">
        <v>135.65311182742374</v>
      </c>
      <c r="AP99" s="43" t="s">
        <v>539</v>
      </c>
      <c r="AQ99" s="43">
        <v>193.64</v>
      </c>
      <c r="AR99" s="43">
        <v>80.66</v>
      </c>
      <c r="AS99" s="39" t="s">
        <v>539</v>
      </c>
      <c r="AT99" s="39" t="s">
        <v>539</v>
      </c>
      <c r="AU99" s="1">
        <v>37076.458572160001</v>
      </c>
    </row>
    <row r="100" spans="2:47" ht="18" customHeight="1" x14ac:dyDescent="0.25">
      <c r="B100" s="2">
        <f>IF(G100=$B$6,MAX(B$7:B99)+1,IF($B$6="Nifty 500 - All Sector",B99+1,0))</f>
        <v>0</v>
      </c>
      <c r="C100" s="36">
        <v>21960</v>
      </c>
      <c r="D100" s="36" t="s">
        <v>119</v>
      </c>
      <c r="E100" s="36" t="s">
        <v>527</v>
      </c>
      <c r="F100" s="36" t="s">
        <v>645</v>
      </c>
      <c r="G100" s="36" t="s">
        <v>625</v>
      </c>
      <c r="H100" s="36" t="s">
        <v>532</v>
      </c>
      <c r="I100" s="37">
        <v>46148</v>
      </c>
      <c r="J100" s="38">
        <v>3917.422222222222</v>
      </c>
      <c r="K100" s="39">
        <v>8.8792846543787931</v>
      </c>
      <c r="L100" s="39">
        <v>-4.4326045048151297</v>
      </c>
      <c r="M100" s="38" t="s">
        <v>539</v>
      </c>
      <c r="N100" s="38">
        <v>3597.95</v>
      </c>
      <c r="O100" s="38">
        <v>4099.12</v>
      </c>
      <c r="P100" s="39" t="s">
        <v>540</v>
      </c>
      <c r="Q100" s="39" t="s">
        <v>540</v>
      </c>
      <c r="R100" s="40"/>
      <c r="S100" s="38">
        <v>855.36666666666679</v>
      </c>
      <c r="T100" s="39">
        <v>21.834936806516762</v>
      </c>
      <c r="U100" s="39">
        <v>73.347625259021854</v>
      </c>
      <c r="V100" s="38" t="s">
        <v>539</v>
      </c>
      <c r="W100" s="38">
        <v>759.22</v>
      </c>
      <c r="X100" s="38">
        <v>880.43999999999903</v>
      </c>
      <c r="Y100" s="39" t="s">
        <v>540</v>
      </c>
      <c r="Z100" s="39" t="s">
        <v>540</v>
      </c>
      <c r="AA100" s="41" t="s">
        <v>540</v>
      </c>
      <c r="AB100" s="42" t="s">
        <v>540</v>
      </c>
      <c r="AC100" s="40"/>
      <c r="AD100" s="43">
        <v>579.79999999999995</v>
      </c>
      <c r="AE100" s="39">
        <v>40.762320951687634</v>
      </c>
      <c r="AF100" s="39">
        <v>16.446747404149331</v>
      </c>
      <c r="AG100" s="43" t="s">
        <v>539</v>
      </c>
      <c r="AH100" s="43">
        <v>411.89999999999901</v>
      </c>
      <c r="AI100" s="43">
        <v>497.91</v>
      </c>
      <c r="AJ100" s="39" t="s">
        <v>539</v>
      </c>
      <c r="AK100" s="39" t="s">
        <v>539</v>
      </c>
      <c r="AL100" s="44"/>
      <c r="AM100" s="43">
        <v>579.79999999999995</v>
      </c>
      <c r="AN100" s="39">
        <v>40.7623209516873</v>
      </c>
      <c r="AO100" s="39">
        <v>16.446747404149331</v>
      </c>
      <c r="AP100" s="43" t="s">
        <v>539</v>
      </c>
      <c r="AQ100" s="43">
        <v>411.9</v>
      </c>
      <c r="AR100" s="43">
        <v>497.91</v>
      </c>
      <c r="AS100" s="39" t="s">
        <v>539</v>
      </c>
      <c r="AT100" s="39" t="s">
        <v>539</v>
      </c>
      <c r="AU100" s="1">
        <v>111139.710165315</v>
      </c>
    </row>
    <row r="101" spans="2:47" ht="18" customHeight="1" x14ac:dyDescent="0.25">
      <c r="B101" s="2">
        <f>IF(G101=$B$6,MAX(B$7:B100)+1,IF($B$6="Nifty 500 - All Sector",B100+1,0))</f>
        <v>0</v>
      </c>
      <c r="C101" s="36">
        <v>43079</v>
      </c>
      <c r="D101" s="36" t="s">
        <v>120</v>
      </c>
      <c r="E101" s="36" t="s">
        <v>527</v>
      </c>
      <c r="F101" s="36" t="s">
        <v>646</v>
      </c>
      <c r="G101" s="36" t="s">
        <v>2</v>
      </c>
      <c r="H101" s="36" t="s">
        <v>529</v>
      </c>
      <c r="I101" s="37">
        <v>46148</v>
      </c>
      <c r="J101" s="38">
        <v>429.91428571428577</v>
      </c>
      <c r="K101" s="39">
        <v>-11.181524198710891</v>
      </c>
      <c r="L101" s="39">
        <v>-22.341932388915854</v>
      </c>
      <c r="M101" s="38" t="s">
        <v>539</v>
      </c>
      <c r="N101" s="38">
        <v>484.03699999999998</v>
      </c>
      <c r="O101" s="38">
        <v>553.59900000000005</v>
      </c>
      <c r="P101" s="39" t="s">
        <v>540</v>
      </c>
      <c r="Q101" s="39" t="s">
        <v>540</v>
      </c>
      <c r="R101" s="40"/>
      <c r="S101" s="38">
        <v>338.3</v>
      </c>
      <c r="T101" s="39">
        <v>78.690104339735484</v>
      </c>
      <c r="U101" s="39">
        <v>-578.23636740733809</v>
      </c>
      <c r="V101" s="38" t="s">
        <v>539</v>
      </c>
      <c r="W101" s="38">
        <v>408.87799999999999</v>
      </c>
      <c r="X101" s="38">
        <v>454.72500000000002</v>
      </c>
      <c r="Y101" s="39" t="s">
        <v>540</v>
      </c>
      <c r="Z101" s="39" t="s">
        <v>540</v>
      </c>
      <c r="AA101" s="41" t="s">
        <v>540</v>
      </c>
      <c r="AB101" s="42" t="s">
        <v>540</v>
      </c>
      <c r="AC101" s="40"/>
      <c r="AD101" s="43">
        <v>249.45999999999998</v>
      </c>
      <c r="AE101" s="39">
        <v>20.497524453568406</v>
      </c>
      <c r="AF101" s="39">
        <v>5.6188052788233023</v>
      </c>
      <c r="AG101" s="43" t="s">
        <v>539</v>
      </c>
      <c r="AH101" s="43">
        <v>207.02500000000001</v>
      </c>
      <c r="AI101" s="43">
        <v>236.18899999999999</v>
      </c>
      <c r="AJ101" s="39" t="s">
        <v>539</v>
      </c>
      <c r="AK101" s="39" t="s">
        <v>539</v>
      </c>
      <c r="AL101" s="44"/>
      <c r="AM101" s="43">
        <v>249.45999999999998</v>
      </c>
      <c r="AN101" s="39">
        <v>20.497524453568406</v>
      </c>
      <c r="AO101" s="39">
        <v>5.6188052788233023</v>
      </c>
      <c r="AP101" s="43" t="s">
        <v>539</v>
      </c>
      <c r="AQ101" s="43">
        <v>207.02500000000001</v>
      </c>
      <c r="AR101" s="43">
        <v>236.18899999999999</v>
      </c>
      <c r="AS101" s="39" t="s">
        <v>539</v>
      </c>
      <c r="AT101" s="39" t="s">
        <v>539</v>
      </c>
      <c r="AU101" s="1">
        <v>11547.12749216</v>
      </c>
    </row>
    <row r="102" spans="2:47" ht="18" customHeight="1" x14ac:dyDescent="0.25">
      <c r="B102" s="2">
        <f>IF(G102=$B$6,MAX(B$7:B101)+1,IF($B$6="Nifty 500 - All Sector",B101+1,0))</f>
        <v>17</v>
      </c>
      <c r="C102" s="36">
        <v>12111</v>
      </c>
      <c r="D102" s="36" t="s">
        <v>121</v>
      </c>
      <c r="E102" s="36" t="s">
        <v>527</v>
      </c>
      <c r="F102" s="36" t="s">
        <v>647</v>
      </c>
      <c r="G102" s="36" t="s">
        <v>531</v>
      </c>
      <c r="H102" s="36" t="s">
        <v>535</v>
      </c>
      <c r="I102" s="37">
        <v>46148</v>
      </c>
      <c r="J102" s="38">
        <v>3892.5888888888885</v>
      </c>
      <c r="K102" s="39">
        <v>21.343835184665629</v>
      </c>
      <c r="L102" s="39">
        <v>5.162471670644031</v>
      </c>
      <c r="M102" s="38" t="s">
        <v>539</v>
      </c>
      <c r="N102" s="38">
        <v>3207.9</v>
      </c>
      <c r="O102" s="38">
        <v>3701.5</v>
      </c>
      <c r="P102" s="39" t="s">
        <v>540</v>
      </c>
      <c r="Q102" s="39" t="s">
        <v>540</v>
      </c>
      <c r="R102" s="40"/>
      <c r="S102" s="38">
        <v>650.04444444444448</v>
      </c>
      <c r="T102" s="39">
        <v>16.699540151798434</v>
      </c>
      <c r="U102" s="39">
        <v>24.64088197743699</v>
      </c>
      <c r="V102" s="38" t="s">
        <v>539</v>
      </c>
      <c r="W102" s="38">
        <v>527.79999999999995</v>
      </c>
      <c r="X102" s="38">
        <v>601.20000000000005</v>
      </c>
      <c r="Y102" s="39" t="s">
        <v>540</v>
      </c>
      <c r="Z102" s="39" t="s">
        <v>540</v>
      </c>
      <c r="AA102" s="41" t="s">
        <v>540</v>
      </c>
      <c r="AB102" s="42" t="s">
        <v>540</v>
      </c>
      <c r="AC102" s="40"/>
      <c r="AD102" s="43">
        <v>396.31110000000001</v>
      </c>
      <c r="AE102" s="39">
        <v>21.159003362885965</v>
      </c>
      <c r="AF102" s="39">
        <v>35.909156378600812</v>
      </c>
      <c r="AG102" s="43" t="s">
        <v>539</v>
      </c>
      <c r="AH102" s="43">
        <v>327.10000000000002</v>
      </c>
      <c r="AI102" s="43">
        <v>291.60000000000002</v>
      </c>
      <c r="AJ102" s="39" t="s">
        <v>539</v>
      </c>
      <c r="AK102" s="39" t="s">
        <v>539</v>
      </c>
      <c r="AL102" s="44"/>
      <c r="AM102" s="43">
        <v>396.31110000000001</v>
      </c>
      <c r="AN102" s="39">
        <v>21.121974327628369</v>
      </c>
      <c r="AO102" s="39">
        <v>35.769475847893119</v>
      </c>
      <c r="AP102" s="43" t="s">
        <v>539</v>
      </c>
      <c r="AQ102" s="43">
        <v>327.2</v>
      </c>
      <c r="AR102" s="43">
        <v>291.89999999999998</v>
      </c>
      <c r="AS102" s="39" t="s">
        <v>539</v>
      </c>
      <c r="AT102" s="39" t="s">
        <v>539</v>
      </c>
      <c r="AU102" s="1">
        <v>29637.33069196</v>
      </c>
    </row>
    <row r="103" spans="2:47" ht="18" customHeight="1" x14ac:dyDescent="0.25">
      <c r="B103" s="2">
        <f>IF(G103=$B$6,MAX(B$7:B102)+1,IF($B$6="Nifty 500 - All Sector",B102+1,0))</f>
        <v>0</v>
      </c>
      <c r="C103" s="36">
        <v>161</v>
      </c>
      <c r="D103" s="36" t="s">
        <v>122</v>
      </c>
      <c r="E103" s="36" t="s">
        <v>533</v>
      </c>
      <c r="F103" s="36" t="s">
        <v>648</v>
      </c>
      <c r="G103" s="36" t="s">
        <v>604</v>
      </c>
      <c r="H103" s="36" t="s">
        <v>535</v>
      </c>
      <c r="I103" s="37">
        <v>46149</v>
      </c>
      <c r="J103" s="38">
        <v>2901.9375</v>
      </c>
      <c r="K103" s="39">
        <v>19.406554746327597</v>
      </c>
      <c r="L103" s="39">
        <v>-11.02035966700906</v>
      </c>
      <c r="M103" s="38" t="s">
        <v>539</v>
      </c>
      <c r="N103" s="38">
        <v>2430.3000000000002</v>
      </c>
      <c r="O103" s="38">
        <v>3261.35</v>
      </c>
      <c r="P103" s="39" t="s">
        <v>540</v>
      </c>
      <c r="Q103" s="39" t="s">
        <v>540</v>
      </c>
      <c r="R103" s="40"/>
      <c r="S103" s="38">
        <v>369.6875</v>
      </c>
      <c r="T103" s="39">
        <v>12.739333634856024</v>
      </c>
      <c r="U103" s="39">
        <v>68.814653861276298</v>
      </c>
      <c r="V103" s="38" t="s">
        <v>539</v>
      </c>
      <c r="W103" s="38">
        <v>292.88</v>
      </c>
      <c r="X103" s="38">
        <v>438.74</v>
      </c>
      <c r="Y103" s="39" t="s">
        <v>540</v>
      </c>
      <c r="Z103" s="39" t="s">
        <v>540</v>
      </c>
      <c r="AA103" s="41" t="s">
        <v>540</v>
      </c>
      <c r="AB103" s="42" t="s">
        <v>540</v>
      </c>
      <c r="AC103" s="40"/>
      <c r="AD103" s="43">
        <v>318.55709999999999</v>
      </c>
      <c r="AE103" s="39">
        <v>27.061983965537873</v>
      </c>
      <c r="AF103" s="39">
        <v>-12.085801021111941</v>
      </c>
      <c r="AG103" s="43" t="s">
        <v>539</v>
      </c>
      <c r="AH103" s="43">
        <v>250.71</v>
      </c>
      <c r="AI103" s="43">
        <v>362.349999999999</v>
      </c>
      <c r="AJ103" s="39" t="s">
        <v>539</v>
      </c>
      <c r="AK103" s="39" t="s">
        <v>539</v>
      </c>
      <c r="AL103" s="44"/>
      <c r="AM103" s="43">
        <v>318.55709999999999</v>
      </c>
      <c r="AN103" s="39">
        <v>27.061983965537873</v>
      </c>
      <c r="AO103" s="39">
        <v>-12.085801021111941</v>
      </c>
      <c r="AP103" s="43" t="s">
        <v>539</v>
      </c>
      <c r="AQ103" s="43">
        <v>250.71</v>
      </c>
      <c r="AR103" s="43">
        <v>362.349999999999</v>
      </c>
      <c r="AS103" s="39" t="s">
        <v>539</v>
      </c>
      <c r="AT103" s="39" t="s">
        <v>539</v>
      </c>
      <c r="AU103" s="1">
        <v>36146.024151090001</v>
      </c>
    </row>
    <row r="104" spans="2:47" ht="18" customHeight="1" x14ac:dyDescent="0.25">
      <c r="B104" s="2">
        <f>IF(G104=$B$6,MAX(B$7:B103)+1,IF($B$6="Nifty 500 - All Sector",B103+1,0))</f>
        <v>0</v>
      </c>
      <c r="C104" s="36">
        <v>3219</v>
      </c>
      <c r="D104" s="36" t="s">
        <v>123</v>
      </c>
      <c r="E104" s="36" t="s">
        <v>527</v>
      </c>
      <c r="F104" s="36" t="s">
        <v>649</v>
      </c>
      <c r="G104" s="36" t="s">
        <v>537</v>
      </c>
      <c r="H104" s="36" t="s">
        <v>532</v>
      </c>
      <c r="I104" s="37">
        <v>46149</v>
      </c>
      <c r="J104" s="38">
        <v>3445.5571428571429</v>
      </c>
      <c r="K104" s="39">
        <v>9.6912949711615237</v>
      </c>
      <c r="L104" s="39">
        <v>-7.1255867970613007</v>
      </c>
      <c r="M104" s="38" t="s">
        <v>539</v>
      </c>
      <c r="N104" s="38">
        <v>3141.14</v>
      </c>
      <c r="O104" s="38">
        <v>3709.91</v>
      </c>
      <c r="P104" s="39" t="s">
        <v>540</v>
      </c>
      <c r="Q104" s="39" t="s">
        <v>540</v>
      </c>
      <c r="R104" s="40"/>
      <c r="S104" s="38">
        <v>728.2833333333333</v>
      </c>
      <c r="T104" s="39">
        <v>21.136881588021563</v>
      </c>
      <c r="U104" s="39">
        <v>99.833316292748719</v>
      </c>
      <c r="V104" s="38" t="s">
        <v>539</v>
      </c>
      <c r="W104" s="38">
        <v>632.58000000000004</v>
      </c>
      <c r="X104" s="38">
        <v>894.44</v>
      </c>
      <c r="Y104" s="39" t="s">
        <v>540</v>
      </c>
      <c r="Z104" s="39" t="s">
        <v>540</v>
      </c>
      <c r="AA104" s="41" t="s">
        <v>540</v>
      </c>
      <c r="AB104" s="42" t="s">
        <v>540</v>
      </c>
      <c r="AC104" s="40"/>
      <c r="AD104" s="43">
        <v>555.77139999999997</v>
      </c>
      <c r="AE104" s="39">
        <v>29.756116921927521</v>
      </c>
      <c r="AF104" s="39">
        <v>-10.944060762414487</v>
      </c>
      <c r="AG104" s="43" t="s">
        <v>539</v>
      </c>
      <c r="AH104" s="43">
        <v>428.32</v>
      </c>
      <c r="AI104" s="43">
        <v>624.07000000000005</v>
      </c>
      <c r="AJ104" s="39" t="s">
        <v>539</v>
      </c>
      <c r="AK104" s="39" t="s">
        <v>539</v>
      </c>
      <c r="AL104" s="44"/>
      <c r="AM104" s="43">
        <v>555.77139999999997</v>
      </c>
      <c r="AN104" s="39">
        <v>31.593360799355974</v>
      </c>
      <c r="AO104" s="39">
        <v>-10.070807915729517</v>
      </c>
      <c r="AP104" s="43" t="s">
        <v>539</v>
      </c>
      <c r="AQ104" s="43">
        <v>422.34</v>
      </c>
      <c r="AR104" s="43">
        <v>618.01</v>
      </c>
      <c r="AS104" s="39" t="s">
        <v>539</v>
      </c>
      <c r="AT104" s="39" t="s">
        <v>539</v>
      </c>
      <c r="AU104" s="1">
        <v>135276.40616951999</v>
      </c>
    </row>
    <row r="105" spans="2:47" ht="18" customHeight="1" x14ac:dyDescent="0.25">
      <c r="B105" s="2">
        <f>IF(G105=$B$6,MAX(B$7:B104)+1,IF($B$6="Nifty 500 - All Sector",B104+1,0))</f>
        <v>0</v>
      </c>
      <c r="C105" s="36">
        <v>3392</v>
      </c>
      <c r="D105" s="36" t="s">
        <v>124</v>
      </c>
      <c r="E105" s="36" t="s">
        <v>527</v>
      </c>
      <c r="F105" s="36" t="s">
        <v>650</v>
      </c>
      <c r="G105" s="36" t="s">
        <v>563</v>
      </c>
      <c r="H105" s="36" t="s">
        <v>535</v>
      </c>
      <c r="I105" s="37">
        <v>46149</v>
      </c>
      <c r="J105" s="38">
        <v>2994.1647058823528</v>
      </c>
      <c r="K105" s="39">
        <v>5.7956392928389722</v>
      </c>
      <c r="L105" s="39">
        <v>-15.862343701056503</v>
      </c>
      <c r="M105" s="38" t="s">
        <v>539</v>
      </c>
      <c r="N105" s="38">
        <v>2830.14</v>
      </c>
      <c r="O105" s="38">
        <v>3558.65</v>
      </c>
      <c r="P105" s="39" t="s">
        <v>540</v>
      </c>
      <c r="Q105" s="39" t="s">
        <v>540</v>
      </c>
      <c r="R105" s="40"/>
      <c r="S105" s="38">
        <v>468.18666666666667</v>
      </c>
      <c r="T105" s="39">
        <v>15.636637014218508</v>
      </c>
      <c r="U105" s="39">
        <v>55.363758662835316</v>
      </c>
      <c r="V105" s="38" t="s">
        <v>539</v>
      </c>
      <c r="W105" s="38">
        <v>426.87</v>
      </c>
      <c r="X105" s="38">
        <v>734.13</v>
      </c>
      <c r="Y105" s="39" t="s">
        <v>540</v>
      </c>
      <c r="Z105" s="39" t="s">
        <v>540</v>
      </c>
      <c r="AA105" s="41" t="s">
        <v>540</v>
      </c>
      <c r="AB105" s="42" t="s">
        <v>540</v>
      </c>
      <c r="AC105" s="40"/>
      <c r="AD105" s="43">
        <v>363.11900000000003</v>
      </c>
      <c r="AE105" s="39">
        <v>16.116334100793051</v>
      </c>
      <c r="AF105" s="39">
        <v>-34.444404325612453</v>
      </c>
      <c r="AG105" s="43" t="s">
        <v>539</v>
      </c>
      <c r="AH105" s="43">
        <v>312.72000000000003</v>
      </c>
      <c r="AI105" s="43">
        <v>553.91</v>
      </c>
      <c r="AJ105" s="39" t="s">
        <v>539</v>
      </c>
      <c r="AK105" s="39" t="s">
        <v>539</v>
      </c>
      <c r="AL105" s="44"/>
      <c r="AM105" s="43">
        <v>363.11900000000003</v>
      </c>
      <c r="AN105" s="39">
        <v>13.42860712835412</v>
      </c>
      <c r="AO105" s="39">
        <v>-35.153847527546112</v>
      </c>
      <c r="AP105" s="43" t="s">
        <v>539</v>
      </c>
      <c r="AQ105" s="43">
        <v>320.13</v>
      </c>
      <c r="AR105" s="43">
        <v>559.97</v>
      </c>
      <c r="AS105" s="39" t="s">
        <v>539</v>
      </c>
      <c r="AT105" s="39" t="s">
        <v>539</v>
      </c>
      <c r="AU105" s="1">
        <v>76862.863603620004</v>
      </c>
    </row>
    <row r="106" spans="2:47" ht="18" customHeight="1" x14ac:dyDescent="0.25">
      <c r="B106" s="2">
        <f>IF(G106=$B$6,MAX(B$7:B105)+1,IF($B$6="Nifty 500 - All Sector",B105+1,0))</f>
        <v>0</v>
      </c>
      <c r="C106" s="36">
        <v>50</v>
      </c>
      <c r="D106" s="36" t="s">
        <v>125</v>
      </c>
      <c r="E106" s="36" t="s">
        <v>527</v>
      </c>
      <c r="F106" s="36" t="s">
        <v>651</v>
      </c>
      <c r="G106" s="36" t="s">
        <v>2</v>
      </c>
      <c r="H106" s="36" t="s">
        <v>532</v>
      </c>
      <c r="I106" s="37">
        <v>46149</v>
      </c>
      <c r="J106" s="38" t="s">
        <v>539</v>
      </c>
      <c r="K106" s="39" t="s">
        <v>540</v>
      </c>
      <c r="L106" s="39" t="s">
        <v>540</v>
      </c>
      <c r="M106" s="38" t="s">
        <v>539</v>
      </c>
      <c r="N106" s="38">
        <v>145.26</v>
      </c>
      <c r="O106" s="38">
        <v>287.51000000000005</v>
      </c>
      <c r="P106" s="39" t="s">
        <v>540</v>
      </c>
      <c r="Q106" s="39" t="s">
        <v>540</v>
      </c>
      <c r="R106" s="40"/>
      <c r="S106" s="38" t="s">
        <v>539</v>
      </c>
      <c r="T106" s="39" t="s">
        <v>540</v>
      </c>
      <c r="U106" s="39" t="s">
        <v>540</v>
      </c>
      <c r="V106" s="38" t="s">
        <v>539</v>
      </c>
      <c r="W106" s="38">
        <v>103.17</v>
      </c>
      <c r="X106" s="38">
        <v>246.52</v>
      </c>
      <c r="Y106" s="39" t="s">
        <v>540</v>
      </c>
      <c r="Z106" s="39" t="s">
        <v>540</v>
      </c>
      <c r="AA106" s="41" t="s">
        <v>540</v>
      </c>
      <c r="AB106" s="42" t="s">
        <v>540</v>
      </c>
      <c r="AC106" s="40"/>
      <c r="AD106" s="43" t="s">
        <v>540</v>
      </c>
      <c r="AE106" s="39" t="s">
        <v>539</v>
      </c>
      <c r="AF106" s="39" t="s">
        <v>539</v>
      </c>
      <c r="AG106" s="43" t="s">
        <v>539</v>
      </c>
      <c r="AH106" s="43">
        <v>142.84</v>
      </c>
      <c r="AI106" s="43">
        <v>185.45</v>
      </c>
      <c r="AJ106" s="39" t="s">
        <v>539</v>
      </c>
      <c r="AK106" s="39" t="s">
        <v>539</v>
      </c>
      <c r="AL106" s="44"/>
      <c r="AM106" s="43" t="s">
        <v>539</v>
      </c>
      <c r="AN106" s="39" t="s">
        <v>539</v>
      </c>
      <c r="AO106" s="39" t="s">
        <v>539</v>
      </c>
      <c r="AP106" s="43" t="s">
        <v>539</v>
      </c>
      <c r="AQ106" s="43">
        <v>1725.49</v>
      </c>
      <c r="AR106" s="43">
        <v>2016.22</v>
      </c>
      <c r="AS106" s="39" t="s">
        <v>539</v>
      </c>
      <c r="AT106" s="39" t="s">
        <v>539</v>
      </c>
      <c r="AU106" s="1">
        <v>111784.87084665</v>
      </c>
    </row>
    <row r="107" spans="2:47" ht="18" customHeight="1" x14ac:dyDescent="0.25">
      <c r="B107" s="2">
        <f>IF(G107=$B$6,MAX(B$7:B106)+1,IF($B$6="Nifty 500 - All Sector",B106+1,0))</f>
        <v>0</v>
      </c>
      <c r="C107" s="36">
        <v>242</v>
      </c>
      <c r="D107" s="36" t="s">
        <v>126</v>
      </c>
      <c r="E107" s="36" t="s">
        <v>533</v>
      </c>
      <c r="F107" s="36" t="s">
        <v>652</v>
      </c>
      <c r="G107" s="36" t="s">
        <v>542</v>
      </c>
      <c r="H107" s="36" t="s">
        <v>532</v>
      </c>
      <c r="I107" s="37">
        <v>46150</v>
      </c>
      <c r="J107" s="38">
        <v>3347.8857142857146</v>
      </c>
      <c r="K107" s="39">
        <v>5.9605044463695744</v>
      </c>
      <c r="L107" s="39">
        <v>-5.8792155690955417</v>
      </c>
      <c r="M107" s="38" t="s">
        <v>539</v>
      </c>
      <c r="N107" s="38">
        <v>3159.56</v>
      </c>
      <c r="O107" s="38">
        <v>3557.0099999999998</v>
      </c>
      <c r="P107" s="39" t="s">
        <v>540</v>
      </c>
      <c r="Q107" s="39" t="s">
        <v>540</v>
      </c>
      <c r="R107" s="40"/>
      <c r="S107" s="38">
        <v>542.20000000000005</v>
      </c>
      <c r="T107" s="39">
        <v>16.195295965044039</v>
      </c>
      <c r="U107" s="39">
        <v>-223.35358976203815</v>
      </c>
      <c r="V107" s="38" t="s">
        <v>539</v>
      </c>
      <c r="W107" s="38">
        <v>582.27</v>
      </c>
      <c r="X107" s="38">
        <v>546.25</v>
      </c>
      <c r="Y107" s="39" t="s">
        <v>540</v>
      </c>
      <c r="Z107" s="39" t="s">
        <v>540</v>
      </c>
      <c r="AA107" s="41" t="s">
        <v>540</v>
      </c>
      <c r="AB107" s="42" t="s">
        <v>540</v>
      </c>
      <c r="AC107" s="40"/>
      <c r="AD107" s="43">
        <v>444.03330000000005</v>
      </c>
      <c r="AE107" s="39">
        <v>-6.3457985320171995</v>
      </c>
      <c r="AF107" s="39">
        <v>2.2364385706391765</v>
      </c>
      <c r="AG107" s="43" t="s">
        <v>539</v>
      </c>
      <c r="AH107" s="43">
        <v>474.12</v>
      </c>
      <c r="AI107" s="43">
        <v>434.32</v>
      </c>
      <c r="AJ107" s="39" t="s">
        <v>539</v>
      </c>
      <c r="AK107" s="39" t="s">
        <v>539</v>
      </c>
      <c r="AL107" s="44"/>
      <c r="AM107" s="43">
        <v>444.03330000000005</v>
      </c>
      <c r="AN107" s="39">
        <v>-6.3457985320171995</v>
      </c>
      <c r="AO107" s="39">
        <v>2.2364385706391765</v>
      </c>
      <c r="AP107" s="43" t="s">
        <v>539</v>
      </c>
      <c r="AQ107" s="43">
        <v>474.12</v>
      </c>
      <c r="AR107" s="43">
        <v>434.32</v>
      </c>
      <c r="AS107" s="39" t="s">
        <v>539</v>
      </c>
      <c r="AT107" s="39" t="s">
        <v>539</v>
      </c>
      <c r="AU107" s="1">
        <v>145522.77882187499</v>
      </c>
    </row>
    <row r="108" spans="2:47" ht="18" customHeight="1" x14ac:dyDescent="0.25">
      <c r="B108" s="2">
        <f>IF(G108=$B$6,MAX(B$7:B107)+1,IF($B$6="Nifty 500 - All Sector",B107+1,0))</f>
        <v>0</v>
      </c>
      <c r="C108" s="36">
        <v>573</v>
      </c>
      <c r="D108" s="36" t="s">
        <v>127</v>
      </c>
      <c r="E108" s="36" t="s">
        <v>527</v>
      </c>
      <c r="F108" s="36" t="s">
        <v>653</v>
      </c>
      <c r="G108" s="36" t="s">
        <v>2</v>
      </c>
      <c r="H108" s="36" t="s">
        <v>529</v>
      </c>
      <c r="I108" s="37">
        <v>46150</v>
      </c>
      <c r="J108" s="38" t="s">
        <v>539</v>
      </c>
      <c r="K108" s="39" t="s">
        <v>540</v>
      </c>
      <c r="L108" s="39" t="s">
        <v>540</v>
      </c>
      <c r="M108" s="38" t="s">
        <v>539</v>
      </c>
      <c r="N108" s="38">
        <v>8913.369999999999</v>
      </c>
      <c r="O108" s="38">
        <v>9948.7900000000009</v>
      </c>
      <c r="P108" s="39" t="s">
        <v>540</v>
      </c>
      <c r="Q108" s="39" t="s">
        <v>540</v>
      </c>
      <c r="R108" s="40"/>
      <c r="S108" s="38" t="s">
        <v>539</v>
      </c>
      <c r="T108" s="39" t="s">
        <v>540</v>
      </c>
      <c r="U108" s="39" t="s">
        <v>540</v>
      </c>
      <c r="V108" s="38" t="s">
        <v>539</v>
      </c>
      <c r="W108" s="38">
        <v>5203.97</v>
      </c>
      <c r="X108" s="38">
        <v>5461.74</v>
      </c>
      <c r="Y108" s="39" t="s">
        <v>540</v>
      </c>
      <c r="Z108" s="39" t="s">
        <v>540</v>
      </c>
      <c r="AA108" s="41" t="s">
        <v>540</v>
      </c>
      <c r="AB108" s="42" t="s">
        <v>540</v>
      </c>
      <c r="AC108" s="40"/>
      <c r="AD108" s="43" t="s">
        <v>540</v>
      </c>
      <c r="AE108" s="39" t="s">
        <v>539</v>
      </c>
      <c r="AF108" s="39" t="s">
        <v>539</v>
      </c>
      <c r="AG108" s="43" t="s">
        <v>539</v>
      </c>
      <c r="AH108" s="43">
        <v>1359.95</v>
      </c>
      <c r="AI108" s="43">
        <v>1384.49</v>
      </c>
      <c r="AJ108" s="39" t="s">
        <v>539</v>
      </c>
      <c r="AK108" s="39" t="s">
        <v>539</v>
      </c>
      <c r="AL108" s="44"/>
      <c r="AM108" s="43" t="s">
        <v>539</v>
      </c>
      <c r="AN108" s="39" t="s">
        <v>539</v>
      </c>
      <c r="AO108" s="39" t="s">
        <v>539</v>
      </c>
      <c r="AP108" s="43" t="s">
        <v>539</v>
      </c>
      <c r="AQ108" s="43">
        <v>613.57000000000005</v>
      </c>
      <c r="AR108" s="43">
        <v>625.73</v>
      </c>
      <c r="AS108" s="39" t="s">
        <v>539</v>
      </c>
      <c r="AT108" s="39" t="s">
        <v>539</v>
      </c>
      <c r="AU108" s="1">
        <v>29356.18952177</v>
      </c>
    </row>
    <row r="109" spans="2:47" ht="18" customHeight="1" x14ac:dyDescent="0.25">
      <c r="B109" s="2">
        <f>IF(G109=$B$6,MAX(B$7:B108)+1,IF($B$6="Nifty 500 - All Sector",B108+1,0))</f>
        <v>0</v>
      </c>
      <c r="C109" s="36">
        <v>1538</v>
      </c>
      <c r="D109" s="36" t="s">
        <v>128</v>
      </c>
      <c r="E109" s="36" t="s">
        <v>527</v>
      </c>
      <c r="F109" s="36" t="s">
        <v>654</v>
      </c>
      <c r="G109" s="36" t="s">
        <v>618</v>
      </c>
      <c r="H109" s="36" t="s">
        <v>529</v>
      </c>
      <c r="I109" s="37">
        <v>46153</v>
      </c>
      <c r="J109" s="38">
        <v>642.79999999999995</v>
      </c>
      <c r="K109" s="39">
        <v>18.893923980393957</v>
      </c>
      <c r="L109" s="39">
        <v>0.18859396187596023</v>
      </c>
      <c r="M109" s="38" t="s">
        <v>539</v>
      </c>
      <c r="N109" s="38">
        <v>540.65</v>
      </c>
      <c r="O109" s="38">
        <v>641.59</v>
      </c>
      <c r="P109" s="39" t="s">
        <v>540</v>
      </c>
      <c r="Q109" s="39" t="s">
        <v>540</v>
      </c>
      <c r="R109" s="40"/>
      <c r="S109" s="38">
        <v>169.5</v>
      </c>
      <c r="T109" s="39">
        <v>26.369010578718111</v>
      </c>
      <c r="U109" s="39">
        <v>3.5893035020706066</v>
      </c>
      <c r="V109" s="38" t="s">
        <v>539</v>
      </c>
      <c r="W109" s="38">
        <v>142.37</v>
      </c>
      <c r="X109" s="38">
        <v>169.76</v>
      </c>
      <c r="Y109" s="39" t="s">
        <v>540</v>
      </c>
      <c r="Z109" s="39" t="s">
        <v>540</v>
      </c>
      <c r="AA109" s="41" t="s">
        <v>540</v>
      </c>
      <c r="AB109" s="42" t="s">
        <v>540</v>
      </c>
      <c r="AC109" s="40"/>
      <c r="AD109" s="43">
        <v>140.1</v>
      </c>
      <c r="AE109" s="39">
        <v>18.588115794819693</v>
      </c>
      <c r="AF109" s="39">
        <v>-1.483721257295556</v>
      </c>
      <c r="AG109" s="43" t="s">
        <v>539</v>
      </c>
      <c r="AH109" s="43">
        <v>118.14</v>
      </c>
      <c r="AI109" s="43">
        <v>142.21</v>
      </c>
      <c r="AJ109" s="39" t="s">
        <v>539</v>
      </c>
      <c r="AK109" s="39" t="s">
        <v>539</v>
      </c>
      <c r="AL109" s="44"/>
      <c r="AM109" s="43">
        <v>140.1</v>
      </c>
      <c r="AN109" s="39">
        <v>18.088334457181389</v>
      </c>
      <c r="AO109" s="39">
        <v>-2.8769497400346622</v>
      </c>
      <c r="AP109" s="43" t="s">
        <v>539</v>
      </c>
      <c r="AQ109" s="43">
        <v>118.64</v>
      </c>
      <c r="AR109" s="43">
        <v>144.25</v>
      </c>
      <c r="AS109" s="39" t="s">
        <v>539</v>
      </c>
      <c r="AT109" s="39" t="s">
        <v>539</v>
      </c>
      <c r="AU109" s="1">
        <v>18123.402194800001</v>
      </c>
    </row>
    <row r="110" spans="2:47" ht="18" customHeight="1" x14ac:dyDescent="0.25">
      <c r="B110" s="2">
        <f>IF(G110=$B$6,MAX(B$7:B109)+1,IF($B$6="Nifty 500 - All Sector",B109+1,0))</f>
        <v>0</v>
      </c>
      <c r="C110" s="36">
        <v>64</v>
      </c>
      <c r="D110" s="36" t="s">
        <v>129</v>
      </c>
      <c r="E110" s="36" t="s">
        <v>527</v>
      </c>
      <c r="F110" s="36" t="s">
        <v>655</v>
      </c>
      <c r="G110" s="36" t="s">
        <v>537</v>
      </c>
      <c r="H110" s="36" t="s">
        <v>535</v>
      </c>
      <c r="I110" s="37">
        <v>46154</v>
      </c>
      <c r="J110" s="38">
        <v>2837.81</v>
      </c>
      <c r="K110" s="39">
        <v>4.9474303169713352</v>
      </c>
      <c r="L110" s="39">
        <v>-4.8981725687590627</v>
      </c>
      <c r="M110" s="38" t="s">
        <v>539</v>
      </c>
      <c r="N110" s="38">
        <v>2704.03</v>
      </c>
      <c r="O110" s="38">
        <v>2983.97</v>
      </c>
      <c r="P110" s="39" t="s">
        <v>540</v>
      </c>
      <c r="Q110" s="39" t="s">
        <v>540</v>
      </c>
      <c r="R110" s="40"/>
      <c r="S110" s="38">
        <v>439.8</v>
      </c>
      <c r="T110" s="39">
        <v>15.497866312402875</v>
      </c>
      <c r="U110" s="39">
        <v>-32.185462264591891</v>
      </c>
      <c r="V110" s="38" t="s">
        <v>539</v>
      </c>
      <c r="W110" s="38">
        <v>427.77</v>
      </c>
      <c r="X110" s="38">
        <v>470.97</v>
      </c>
      <c r="Y110" s="39" t="s">
        <v>540</v>
      </c>
      <c r="Z110" s="39" t="s">
        <v>540</v>
      </c>
      <c r="AA110" s="41" t="s">
        <v>540</v>
      </c>
      <c r="AB110" s="42" t="s">
        <v>540</v>
      </c>
      <c r="AC110" s="40"/>
      <c r="AD110" s="43">
        <v>277.45</v>
      </c>
      <c r="AE110" s="39">
        <v>9.417517845170952</v>
      </c>
      <c r="AF110" s="39">
        <v>9.5817370354279277</v>
      </c>
      <c r="AG110" s="43" t="s">
        <v>539</v>
      </c>
      <c r="AH110" s="43">
        <v>253.57</v>
      </c>
      <c r="AI110" s="43">
        <v>253.19</v>
      </c>
      <c r="AJ110" s="39" t="s">
        <v>539</v>
      </c>
      <c r="AK110" s="39" t="s">
        <v>539</v>
      </c>
      <c r="AL110" s="44"/>
      <c r="AM110" s="43">
        <v>277.45</v>
      </c>
      <c r="AN110" s="39">
        <v>5.8767410799465569</v>
      </c>
      <c r="AO110" s="39">
        <v>2.3121174127885391</v>
      </c>
      <c r="AP110" s="43" t="s">
        <v>539</v>
      </c>
      <c r="AQ110" s="43">
        <v>262.05</v>
      </c>
      <c r="AR110" s="43">
        <v>271.18</v>
      </c>
      <c r="AS110" s="39" t="s">
        <v>539</v>
      </c>
      <c r="AT110" s="39" t="s">
        <v>539</v>
      </c>
      <c r="AU110" s="1">
        <v>55332.663443459998</v>
      </c>
    </row>
    <row r="111" spans="2:47" ht="18" customHeight="1" x14ac:dyDescent="0.25">
      <c r="B111" s="2">
        <f>IF(G111=$B$6,MAX(B$7:B110)+1,IF($B$6="Nifty 500 - All Sector",B110+1,0))</f>
        <v>0</v>
      </c>
      <c r="C111" s="36">
        <v>372</v>
      </c>
      <c r="D111" s="36" t="s">
        <v>130</v>
      </c>
      <c r="E111" s="36" t="s">
        <v>527</v>
      </c>
      <c r="F111" s="36" t="s">
        <v>656</v>
      </c>
      <c r="G111" s="36" t="s">
        <v>2</v>
      </c>
      <c r="H111" s="36" t="s">
        <v>535</v>
      </c>
      <c r="I111" s="37">
        <v>46154</v>
      </c>
      <c r="J111" s="38">
        <v>8412.1</v>
      </c>
      <c r="K111" s="39">
        <v>-32.027608809479169</v>
      </c>
      <c r="L111" s="39">
        <v>-41.004689692704858</v>
      </c>
      <c r="M111" s="38" t="s">
        <v>539</v>
      </c>
      <c r="N111" s="38">
        <v>12375.759999999998</v>
      </c>
      <c r="O111" s="38">
        <v>14258.93</v>
      </c>
      <c r="P111" s="39" t="s">
        <v>540</v>
      </c>
      <c r="Q111" s="39" t="s">
        <v>540</v>
      </c>
      <c r="R111" s="40"/>
      <c r="S111" s="38">
        <v>522.65</v>
      </c>
      <c r="T111" s="39">
        <v>6.2130740243221076</v>
      </c>
      <c r="U111" s="39" t="s">
        <v>540</v>
      </c>
      <c r="V111" s="38" t="s">
        <v>539</v>
      </c>
      <c r="W111" s="38" t="s">
        <v>540</v>
      </c>
      <c r="X111" s="38" t="s">
        <v>540</v>
      </c>
      <c r="Y111" s="39" t="s">
        <v>540</v>
      </c>
      <c r="Z111" s="39" t="s">
        <v>540</v>
      </c>
      <c r="AA111" s="41" t="s">
        <v>540</v>
      </c>
      <c r="AB111" s="42" t="s">
        <v>540</v>
      </c>
      <c r="AC111" s="40"/>
      <c r="AD111" s="43">
        <v>153.1</v>
      </c>
      <c r="AE111" s="39">
        <v>280.56176982350627</v>
      </c>
      <c r="AF111" s="39">
        <v>242.12290502792837</v>
      </c>
      <c r="AG111" s="43" t="s">
        <v>539</v>
      </c>
      <c r="AH111" s="43">
        <v>40.230000000000899</v>
      </c>
      <c r="AI111" s="43">
        <v>44.750000000000597</v>
      </c>
      <c r="AJ111" s="39" t="s">
        <v>539</v>
      </c>
      <c r="AK111" s="39" t="s">
        <v>539</v>
      </c>
      <c r="AL111" s="44"/>
      <c r="AM111" s="43">
        <v>153.1</v>
      </c>
      <c r="AN111" s="39">
        <v>388.98115618013412</v>
      </c>
      <c r="AO111" s="39">
        <v>318.76367614879643</v>
      </c>
      <c r="AP111" s="43" t="s">
        <v>539</v>
      </c>
      <c r="AQ111" s="43">
        <v>31.31</v>
      </c>
      <c r="AR111" s="43">
        <v>36.56</v>
      </c>
      <c r="AS111" s="39" t="s">
        <v>539</v>
      </c>
      <c r="AT111" s="39" t="s">
        <v>539</v>
      </c>
      <c r="AU111" s="1">
        <v>58645.353036029999</v>
      </c>
    </row>
    <row r="112" spans="2:47" ht="18" customHeight="1" x14ac:dyDescent="0.25">
      <c r="B112" s="2">
        <f>IF(G112=$B$6,MAX(B$7:B111)+1,IF($B$6="Nifty 500 - All Sector",B111+1,0))</f>
        <v>0</v>
      </c>
      <c r="C112" s="36">
        <v>815</v>
      </c>
      <c r="D112" s="36" t="s">
        <v>131</v>
      </c>
      <c r="E112" s="36" t="s">
        <v>527</v>
      </c>
      <c r="F112" s="36" t="s">
        <v>657</v>
      </c>
      <c r="G112" s="36" t="s">
        <v>616</v>
      </c>
      <c r="H112" s="36" t="s">
        <v>532</v>
      </c>
      <c r="I112" s="37">
        <v>46154</v>
      </c>
      <c r="J112" s="38">
        <v>8272.4</v>
      </c>
      <c r="K112" s="39">
        <v>-3.0017353782655576</v>
      </c>
      <c r="L112" s="39">
        <v>-5.4950076541686705</v>
      </c>
      <c r="M112" s="38" t="s">
        <v>539</v>
      </c>
      <c r="N112" s="38">
        <v>8528.4</v>
      </c>
      <c r="O112" s="38">
        <v>8753.4</v>
      </c>
      <c r="P112" s="39" t="s">
        <v>540</v>
      </c>
      <c r="Q112" s="39" t="s">
        <v>540</v>
      </c>
      <c r="R112" s="40"/>
      <c r="S112" s="38">
        <v>1560.9230769230769</v>
      </c>
      <c r="T112" s="39">
        <v>18.869047397648529</v>
      </c>
      <c r="U112" s="39">
        <v>-455.73866345263241</v>
      </c>
      <c r="V112" s="38" t="s">
        <v>539</v>
      </c>
      <c r="W112" s="38">
        <v>1997.9</v>
      </c>
      <c r="X112" s="38">
        <v>1887.5</v>
      </c>
      <c r="Y112" s="39" t="s">
        <v>540</v>
      </c>
      <c r="Z112" s="39" t="s">
        <v>540</v>
      </c>
      <c r="AA112" s="41" t="s">
        <v>540</v>
      </c>
      <c r="AB112" s="42" t="s">
        <v>540</v>
      </c>
      <c r="AC112" s="40"/>
      <c r="AD112" s="43">
        <v>847</v>
      </c>
      <c r="AE112" s="39">
        <v>-46.433088793321531</v>
      </c>
      <c r="AF112" s="39">
        <v>-28.661669333782523</v>
      </c>
      <c r="AG112" s="43" t="s">
        <v>539</v>
      </c>
      <c r="AH112" s="43">
        <v>1581.2</v>
      </c>
      <c r="AI112" s="43">
        <v>1187.3</v>
      </c>
      <c r="AJ112" s="39" t="s">
        <v>539</v>
      </c>
      <c r="AK112" s="39" t="s">
        <v>539</v>
      </c>
      <c r="AL112" s="44"/>
      <c r="AM112" s="43">
        <v>847</v>
      </c>
      <c r="AN112" s="39">
        <v>-46.839892047950791</v>
      </c>
      <c r="AO112" s="39">
        <v>-29.994214397884122</v>
      </c>
      <c r="AP112" s="43" t="s">
        <v>539</v>
      </c>
      <c r="AQ112" s="43">
        <v>1593.3</v>
      </c>
      <c r="AR112" s="43">
        <v>1209.9000000000001</v>
      </c>
      <c r="AS112" s="39" t="s">
        <v>539</v>
      </c>
      <c r="AT112" s="39" t="s">
        <v>539</v>
      </c>
      <c r="AU112" s="1">
        <v>101686.2586551</v>
      </c>
    </row>
    <row r="113" spans="1:47" ht="18" customHeight="1" x14ac:dyDescent="0.25">
      <c r="B113" s="2">
        <f>IF(G113=$B$6,MAX(B$7:B112)+1,IF($B$6="Nifty 500 - All Sector",B112+1,0))</f>
        <v>0</v>
      </c>
      <c r="C113" s="36">
        <v>114</v>
      </c>
      <c r="D113" s="36" t="s">
        <v>132</v>
      </c>
      <c r="E113" s="36" t="s">
        <v>527</v>
      </c>
      <c r="F113" s="36" t="s">
        <v>658</v>
      </c>
      <c r="G113" s="36" t="s">
        <v>616</v>
      </c>
      <c r="H113" s="36" t="s">
        <v>532</v>
      </c>
      <c r="I113" s="37">
        <v>46155</v>
      </c>
      <c r="J113" s="38">
        <v>6718.0117647058823</v>
      </c>
      <c r="K113" s="39">
        <v>-0.1735330348666575</v>
      </c>
      <c r="L113" s="39">
        <v>-5.0387906290514373</v>
      </c>
      <c r="M113" s="38" t="s">
        <v>539</v>
      </c>
      <c r="N113" s="38">
        <v>6729.6900000000005</v>
      </c>
      <c r="O113" s="38">
        <v>7074.4800000000005</v>
      </c>
      <c r="P113" s="39" t="s">
        <v>540</v>
      </c>
      <c r="Q113" s="39" t="s">
        <v>540</v>
      </c>
      <c r="R113" s="40"/>
      <c r="S113" s="38">
        <v>1117.1624999999999</v>
      </c>
      <c r="T113" s="39">
        <v>16.629362066157526</v>
      </c>
      <c r="U113" s="39">
        <v>-621.84957103522368</v>
      </c>
      <c r="V113" s="38" t="s">
        <v>539</v>
      </c>
      <c r="W113" s="38">
        <v>1537.59</v>
      </c>
      <c r="X113" s="38">
        <v>1255.06</v>
      </c>
      <c r="Y113" s="39" t="s">
        <v>540</v>
      </c>
      <c r="Z113" s="39" t="s">
        <v>540</v>
      </c>
      <c r="AA113" s="41" t="s">
        <v>540</v>
      </c>
      <c r="AB113" s="42" t="s">
        <v>540</v>
      </c>
      <c r="AC113" s="40"/>
      <c r="AD113" s="43">
        <v>759.9067</v>
      </c>
      <c r="AE113" s="39">
        <v>-37.967812770403754</v>
      </c>
      <c r="AF113" s="39">
        <v>12.652202917457455</v>
      </c>
      <c r="AG113" s="43" t="s">
        <v>539</v>
      </c>
      <c r="AH113" s="43">
        <v>1225.02</v>
      </c>
      <c r="AI113" s="43">
        <v>674.55999999999904</v>
      </c>
      <c r="AJ113" s="39" t="s">
        <v>539</v>
      </c>
      <c r="AK113" s="39" t="s">
        <v>539</v>
      </c>
      <c r="AL113" s="44"/>
      <c r="AM113" s="43">
        <v>759.9067</v>
      </c>
      <c r="AN113" s="39">
        <v>-37.806365808943887</v>
      </c>
      <c r="AO113" s="39">
        <v>12.445501627700505</v>
      </c>
      <c r="AP113" s="43" t="s">
        <v>539</v>
      </c>
      <c r="AQ113" s="43">
        <v>1221.8399999999999</v>
      </c>
      <c r="AR113" s="43">
        <v>675.8</v>
      </c>
      <c r="AS113" s="39" t="s">
        <v>539</v>
      </c>
      <c r="AT113" s="39" t="s">
        <v>539</v>
      </c>
      <c r="AU113" s="1">
        <v>99086.656431615003</v>
      </c>
    </row>
    <row r="114" spans="1:47" ht="18" customHeight="1" x14ac:dyDescent="0.25">
      <c r="B114" s="2">
        <f>IF(G114=$B$6,MAX(B$7:B113)+1,IF($B$6="Nifty 500 - All Sector",B113+1,0))</f>
        <v>0</v>
      </c>
      <c r="C114" s="36">
        <v>40457</v>
      </c>
      <c r="D114" s="36" t="s">
        <v>133</v>
      </c>
      <c r="E114" s="36" t="s">
        <v>527</v>
      </c>
      <c r="F114" s="36" t="s">
        <v>659</v>
      </c>
      <c r="G114" s="36" t="s">
        <v>604</v>
      </c>
      <c r="H114" s="36" t="s">
        <v>535</v>
      </c>
      <c r="I114" s="37">
        <v>46156</v>
      </c>
      <c r="J114" s="38">
        <v>3670.1888888888884</v>
      </c>
      <c r="K114" s="39">
        <v>23.847054697050552</v>
      </c>
      <c r="L114" s="39">
        <v>1.7174365445812301</v>
      </c>
      <c r="M114" s="38" t="s">
        <v>539</v>
      </c>
      <c r="N114" s="38">
        <v>2963.4850000000001</v>
      </c>
      <c r="O114" s="38">
        <v>3608.22</v>
      </c>
      <c r="P114" s="39" t="s">
        <v>540</v>
      </c>
      <c r="Q114" s="39" t="s">
        <v>540</v>
      </c>
      <c r="R114" s="40"/>
      <c r="S114" s="38">
        <v>500.95555555555558</v>
      </c>
      <c r="T114" s="39">
        <v>13.649312629988772</v>
      </c>
      <c r="U114" s="39">
        <v>-60.599826242337151</v>
      </c>
      <c r="V114" s="38" t="s">
        <v>539</v>
      </c>
      <c r="W114" s="38">
        <v>422.45400000000001</v>
      </c>
      <c r="X114" s="38">
        <v>477.13</v>
      </c>
      <c r="Y114" s="39" t="s">
        <v>540</v>
      </c>
      <c r="Z114" s="39" t="s">
        <v>540</v>
      </c>
      <c r="AA114" s="41" t="s">
        <v>540</v>
      </c>
      <c r="AB114" s="42" t="s">
        <v>540</v>
      </c>
      <c r="AC114" s="40"/>
      <c r="AD114" s="43">
        <v>266.67500000000001</v>
      </c>
      <c r="AE114" s="39">
        <v>8.7878824964407123</v>
      </c>
      <c r="AF114" s="39">
        <v>20.318985742645744</v>
      </c>
      <c r="AG114" s="43" t="s">
        <v>539</v>
      </c>
      <c r="AH114" s="43">
        <v>245.13300000000001</v>
      </c>
      <c r="AI114" s="43">
        <v>221.64</v>
      </c>
      <c r="AJ114" s="39" t="s">
        <v>539</v>
      </c>
      <c r="AK114" s="39" t="s">
        <v>539</v>
      </c>
      <c r="AL114" s="44"/>
      <c r="AM114" s="43">
        <v>266.67500000000001</v>
      </c>
      <c r="AN114" s="39">
        <v>8.7878824964407123</v>
      </c>
      <c r="AO114" s="39">
        <v>20.318985742645744</v>
      </c>
      <c r="AP114" s="43" t="s">
        <v>539</v>
      </c>
      <c r="AQ114" s="43">
        <v>245.13300000000001</v>
      </c>
      <c r="AR114" s="43">
        <v>221.64</v>
      </c>
      <c r="AS114" s="39" t="s">
        <v>539</v>
      </c>
      <c r="AT114" s="39" t="s">
        <v>539</v>
      </c>
      <c r="AU114" s="1">
        <v>33967.967849280001</v>
      </c>
    </row>
    <row r="115" spans="1:47" ht="18" customHeight="1" x14ac:dyDescent="0.25">
      <c r="B115" s="2">
        <f>IF(G115=$B$6,MAX(B$7:B114)+1,IF($B$6="Nifty 500 - All Sector",B114+1,0))</f>
        <v>0</v>
      </c>
      <c r="C115" s="36">
        <v>2226</v>
      </c>
      <c r="D115" s="36" t="s">
        <v>134</v>
      </c>
      <c r="E115" s="36" t="s">
        <v>533</v>
      </c>
      <c r="F115" s="36" t="s">
        <v>660</v>
      </c>
      <c r="G115" s="36" t="s">
        <v>604</v>
      </c>
      <c r="H115" s="36" t="s">
        <v>529</v>
      </c>
      <c r="I115" s="37">
        <v>46156</v>
      </c>
      <c r="J115" s="38">
        <v>1064.2666666666667</v>
      </c>
      <c r="K115" s="39">
        <v>13.245037105767832</v>
      </c>
      <c r="L115" s="39">
        <v>39.233396478521911</v>
      </c>
      <c r="M115" s="38" t="s">
        <v>539</v>
      </c>
      <c r="N115" s="38">
        <v>939.79100000000005</v>
      </c>
      <c r="O115" s="38">
        <v>764.37599999999998</v>
      </c>
      <c r="P115" s="39" t="s">
        <v>540</v>
      </c>
      <c r="Q115" s="39" t="s">
        <v>540</v>
      </c>
      <c r="R115" s="40"/>
      <c r="S115" s="38">
        <v>229.63333333333335</v>
      </c>
      <c r="T115" s="39">
        <v>21.576672513154598</v>
      </c>
      <c r="U115" s="39">
        <v>-74.062995090389805</v>
      </c>
      <c r="V115" s="38" t="s">
        <v>539</v>
      </c>
      <c r="W115" s="38">
        <v>209.73599999999999</v>
      </c>
      <c r="X115" s="38">
        <v>95.820000000000107</v>
      </c>
      <c r="Y115" s="39" t="s">
        <v>540</v>
      </c>
      <c r="Z115" s="39" t="s">
        <v>540</v>
      </c>
      <c r="AA115" s="41" t="s">
        <v>540</v>
      </c>
      <c r="AB115" s="42" t="s">
        <v>540</v>
      </c>
      <c r="AC115" s="40"/>
      <c r="AD115" s="43">
        <v>156.4667</v>
      </c>
      <c r="AE115" s="39">
        <v>-16.251384956296931</v>
      </c>
      <c r="AF115" s="39">
        <v>213.88132159120482</v>
      </c>
      <c r="AG115" s="43" t="s">
        <v>539</v>
      </c>
      <c r="AH115" s="43">
        <v>186.82900000000001</v>
      </c>
      <c r="AI115" s="43">
        <v>49.849000000000103</v>
      </c>
      <c r="AJ115" s="39" t="s">
        <v>539</v>
      </c>
      <c r="AK115" s="39" t="s">
        <v>539</v>
      </c>
      <c r="AL115" s="44"/>
      <c r="AM115" s="43">
        <v>156.4667</v>
      </c>
      <c r="AN115" s="39">
        <v>-16.251384956296931</v>
      </c>
      <c r="AO115" s="39">
        <v>213.88132159120482</v>
      </c>
      <c r="AP115" s="43" t="s">
        <v>539</v>
      </c>
      <c r="AQ115" s="43">
        <v>186.82900000000001</v>
      </c>
      <c r="AR115" s="43">
        <v>49.849000000000103</v>
      </c>
      <c r="AS115" s="39" t="s">
        <v>539</v>
      </c>
      <c r="AT115" s="39" t="s">
        <v>539</v>
      </c>
      <c r="AU115" s="1">
        <v>26877.534126549999</v>
      </c>
    </row>
    <row r="116" spans="1:47" ht="18" customHeight="1" x14ac:dyDescent="0.25">
      <c r="B116" s="2">
        <f>IF(G116=$B$6,MAX(B$7:B115)+1,IF($B$6="Nifty 500 - All Sector",B115+1,0))</f>
        <v>0</v>
      </c>
      <c r="C116" s="36">
        <v>4764</v>
      </c>
      <c r="D116" s="36" t="s">
        <v>135</v>
      </c>
      <c r="E116" s="36" t="s">
        <v>527</v>
      </c>
      <c r="F116" s="36" t="s">
        <v>661</v>
      </c>
      <c r="G116" s="36" t="s">
        <v>600</v>
      </c>
      <c r="H116" s="36" t="s">
        <v>532</v>
      </c>
      <c r="I116" s="37">
        <v>46156</v>
      </c>
      <c r="J116" s="38">
        <v>49402.622222222228</v>
      </c>
      <c r="K116" s="39">
        <v>10.22696227542388</v>
      </c>
      <c r="L116" s="39">
        <v>7.4180214003223055</v>
      </c>
      <c r="M116" s="38" t="s">
        <v>539</v>
      </c>
      <c r="N116" s="38">
        <v>44819</v>
      </c>
      <c r="O116" s="38">
        <v>45991</v>
      </c>
      <c r="P116" s="39" t="s">
        <v>540</v>
      </c>
      <c r="Q116" s="39" t="s">
        <v>540</v>
      </c>
      <c r="R116" s="40"/>
      <c r="S116" s="38">
        <v>8515.3666666666668</v>
      </c>
      <c r="T116" s="39">
        <v>17.236669398565439</v>
      </c>
      <c r="U116" s="39">
        <v>300.60975428792335</v>
      </c>
      <c r="V116" s="38" t="s">
        <v>539</v>
      </c>
      <c r="W116" s="38">
        <v>6378</v>
      </c>
      <c r="X116" s="38">
        <v>6496</v>
      </c>
      <c r="Y116" s="39" t="s">
        <v>540</v>
      </c>
      <c r="Z116" s="39" t="s">
        <v>540</v>
      </c>
      <c r="AA116" s="41" t="s">
        <v>540</v>
      </c>
      <c r="AB116" s="42" t="s">
        <v>540</v>
      </c>
      <c r="AC116" s="40"/>
      <c r="AD116" s="43">
        <v>2694.3</v>
      </c>
      <c r="AE116" s="39">
        <v>54.489678899082584</v>
      </c>
      <c r="AF116" s="39">
        <v>6.6204986149584588</v>
      </c>
      <c r="AG116" s="43" t="s">
        <v>539</v>
      </c>
      <c r="AH116" s="43">
        <v>1744</v>
      </c>
      <c r="AI116" s="43">
        <v>2527</v>
      </c>
      <c r="AJ116" s="39" t="s">
        <v>539</v>
      </c>
      <c r="AK116" s="39" t="s">
        <v>539</v>
      </c>
      <c r="AL116" s="44"/>
      <c r="AM116" s="43">
        <v>2694.3</v>
      </c>
      <c r="AN116" s="39">
        <v>79.261477045908208</v>
      </c>
      <c r="AO116" s="39">
        <v>25.960729312762986</v>
      </c>
      <c r="AP116" s="43" t="s">
        <v>539</v>
      </c>
      <c r="AQ116" s="43">
        <v>1503</v>
      </c>
      <c r="AR116" s="43">
        <v>2139</v>
      </c>
      <c r="AS116" s="39" t="s">
        <v>539</v>
      </c>
      <c r="AT116" s="39" t="s">
        <v>539</v>
      </c>
      <c r="AU116" s="1">
        <v>297917.42940795003</v>
      </c>
    </row>
    <row r="117" spans="1:47" ht="18" customHeight="1" x14ac:dyDescent="0.25">
      <c r="B117" s="2">
        <f>IF(G117=$B$6,MAX(B$7:B116)+1,IF($B$6="Nifty 500 - All Sector",B116+1,0))</f>
        <v>0</v>
      </c>
      <c r="C117" s="36">
        <v>378</v>
      </c>
      <c r="D117" s="36" t="s">
        <v>136</v>
      </c>
      <c r="E117" s="36" t="s">
        <v>533</v>
      </c>
      <c r="F117" s="36" t="s">
        <v>662</v>
      </c>
      <c r="G117" s="36" t="s">
        <v>604</v>
      </c>
      <c r="H117" s="36" t="s">
        <v>532</v>
      </c>
      <c r="I117" s="37">
        <v>46162</v>
      </c>
      <c r="J117" s="38">
        <v>5445.6333333333332</v>
      </c>
      <c r="K117" s="39">
        <v>10.895477809907806</v>
      </c>
      <c r="L117" s="39">
        <v>11.462938704219194</v>
      </c>
      <c r="M117" s="38" t="s">
        <v>539</v>
      </c>
      <c r="N117" s="38">
        <v>4910.6000000000004</v>
      </c>
      <c r="O117" s="38">
        <v>4885.6000000000004</v>
      </c>
      <c r="P117" s="39" t="s">
        <v>540</v>
      </c>
      <c r="Q117" s="39" t="s">
        <v>540</v>
      </c>
      <c r="R117" s="40"/>
      <c r="S117" s="38">
        <v>739.0333333333333</v>
      </c>
      <c r="T117" s="39">
        <v>13.571118143589054</v>
      </c>
      <c r="U117" s="39">
        <v>39.757519568044941</v>
      </c>
      <c r="V117" s="38" t="s">
        <v>539</v>
      </c>
      <c r="W117" s="38">
        <v>646.9</v>
      </c>
      <c r="X117" s="38">
        <v>612.4</v>
      </c>
      <c r="Y117" s="39" t="s">
        <v>540</v>
      </c>
      <c r="Z117" s="39" t="s">
        <v>540</v>
      </c>
      <c r="AA117" s="41" t="s">
        <v>540</v>
      </c>
      <c r="AB117" s="42" t="s">
        <v>540</v>
      </c>
      <c r="AC117" s="40"/>
      <c r="AD117" s="43">
        <v>628.52499999999998</v>
      </c>
      <c r="AE117" s="39">
        <v>13.513635542712654</v>
      </c>
      <c r="AF117" s="39">
        <v>18.121593685397475</v>
      </c>
      <c r="AG117" s="43" t="s">
        <v>539</v>
      </c>
      <c r="AH117" s="43">
        <v>553.70000000000005</v>
      </c>
      <c r="AI117" s="43">
        <v>532.1</v>
      </c>
      <c r="AJ117" s="39" t="s">
        <v>539</v>
      </c>
      <c r="AK117" s="39" t="s">
        <v>539</v>
      </c>
      <c r="AL117" s="44"/>
      <c r="AM117" s="43">
        <v>628.52499999999998</v>
      </c>
      <c r="AN117" s="39">
        <v>13.513635542712654</v>
      </c>
      <c r="AO117" s="39">
        <v>18.121593685397475</v>
      </c>
      <c r="AP117" s="43" t="s">
        <v>539</v>
      </c>
      <c r="AQ117" s="43">
        <v>553.70000000000005</v>
      </c>
      <c r="AR117" s="43">
        <v>532.1</v>
      </c>
      <c r="AS117" s="39" t="s">
        <v>539</v>
      </c>
      <c r="AT117" s="39" t="s">
        <v>539</v>
      </c>
      <c r="AU117" s="1">
        <v>109327.762093</v>
      </c>
    </row>
    <row r="118" spans="1:47" ht="18" customHeight="1" x14ac:dyDescent="0.25">
      <c r="B118" s="2">
        <f>IF(G118=$B$6,MAX(B$7:B117)+1,IF($B$6="Nifty 500 - All Sector",B117+1,0))</f>
        <v>0</v>
      </c>
      <c r="C118" s="36">
        <v>25811</v>
      </c>
      <c r="D118" s="36" t="s">
        <v>137</v>
      </c>
      <c r="E118" s="36" t="s">
        <v>527</v>
      </c>
      <c r="F118" s="36" t="s">
        <v>663</v>
      </c>
      <c r="G118" s="36" t="s">
        <v>563</v>
      </c>
      <c r="H118" s="36" t="s">
        <v>529</v>
      </c>
      <c r="I118" s="37">
        <v>46163</v>
      </c>
      <c r="J118" s="38">
        <v>681.45</v>
      </c>
      <c r="K118" s="39">
        <v>11.053529610200407</v>
      </c>
      <c r="L118" s="39">
        <v>-13.742034951279336</v>
      </c>
      <c r="M118" s="38" t="s">
        <v>539</v>
      </c>
      <c r="N118" s="38">
        <v>613.62300000000005</v>
      </c>
      <c r="O118" s="38">
        <v>790.01400000000001</v>
      </c>
      <c r="P118" s="39" t="s">
        <v>540</v>
      </c>
      <c r="Q118" s="39" t="s">
        <v>540</v>
      </c>
      <c r="R118" s="40"/>
      <c r="S118" s="38">
        <v>90.966666666666669</v>
      </c>
      <c r="T118" s="39">
        <v>13.348986230342161</v>
      </c>
      <c r="U118" s="39">
        <v>123.89447227715689</v>
      </c>
      <c r="V118" s="38" t="s">
        <v>539</v>
      </c>
      <c r="W118" s="38">
        <v>74.309999999999903</v>
      </c>
      <c r="X118" s="38">
        <v>98.356999999999999</v>
      </c>
      <c r="Y118" s="39" t="s">
        <v>540</v>
      </c>
      <c r="Z118" s="39" t="s">
        <v>540</v>
      </c>
      <c r="AA118" s="41" t="s">
        <v>540</v>
      </c>
      <c r="AB118" s="42" t="s">
        <v>540</v>
      </c>
      <c r="AC118" s="40"/>
      <c r="AD118" s="43">
        <v>56.533299999999997</v>
      </c>
      <c r="AE118" s="39">
        <v>41.612935547706712</v>
      </c>
      <c r="AF118" s="39">
        <v>-9.062203419820813</v>
      </c>
      <c r="AG118" s="43" t="s">
        <v>539</v>
      </c>
      <c r="AH118" s="43">
        <v>39.920999999999999</v>
      </c>
      <c r="AI118" s="43">
        <v>62.167000000000002</v>
      </c>
      <c r="AJ118" s="39" t="s">
        <v>539</v>
      </c>
      <c r="AK118" s="39" t="s">
        <v>539</v>
      </c>
      <c r="AL118" s="44"/>
      <c r="AM118" s="43">
        <v>56.533299999999997</v>
      </c>
      <c r="AN118" s="39">
        <v>26.864368744670351</v>
      </c>
      <c r="AO118" s="39">
        <v>-9.0812158250241239</v>
      </c>
      <c r="AP118" s="43" t="s">
        <v>539</v>
      </c>
      <c r="AQ118" s="43">
        <v>44.561999999999998</v>
      </c>
      <c r="AR118" s="43">
        <v>62.18</v>
      </c>
      <c r="AS118" s="39" t="s">
        <v>539</v>
      </c>
      <c r="AT118" s="39" t="s">
        <v>539</v>
      </c>
      <c r="AU118" s="1">
        <v>16154.946252</v>
      </c>
    </row>
    <row r="119" spans="1:47" ht="18" customHeight="1" x14ac:dyDescent="0.25">
      <c r="B119" s="2">
        <f>IF(G119=$B$6,MAX(B$7:B118)+1,IF($B$6="Nifty 500 - All Sector",B118+1,0))</f>
        <v>0</v>
      </c>
      <c r="C119" s="36">
        <v>252</v>
      </c>
      <c r="D119" s="36" t="s">
        <v>138</v>
      </c>
      <c r="E119" s="36" t="s">
        <v>527</v>
      </c>
      <c r="F119" s="36" t="s">
        <v>664</v>
      </c>
      <c r="G119" s="36" t="s">
        <v>600</v>
      </c>
      <c r="H119" s="36" t="s">
        <v>532</v>
      </c>
      <c r="I119" s="37">
        <v>46164</v>
      </c>
      <c r="J119" s="38">
        <v>71613.688888888893</v>
      </c>
      <c r="K119" s="39">
        <v>10.361671889179981</v>
      </c>
      <c r="L119" s="39">
        <v>7.6557611714930474</v>
      </c>
      <c r="M119" s="38" t="s">
        <v>539</v>
      </c>
      <c r="N119" s="38">
        <v>64890</v>
      </c>
      <c r="O119" s="38">
        <v>66521</v>
      </c>
      <c r="P119" s="39" t="s">
        <v>540</v>
      </c>
      <c r="Q119" s="39" t="s">
        <v>540</v>
      </c>
      <c r="R119" s="40"/>
      <c r="S119" s="38">
        <v>8918.822222222223</v>
      </c>
      <c r="T119" s="39">
        <v>12.454074577920547</v>
      </c>
      <c r="U119" s="39">
        <v>-116.28155438239425</v>
      </c>
      <c r="V119" s="38" t="s">
        <v>539</v>
      </c>
      <c r="W119" s="38">
        <v>8836</v>
      </c>
      <c r="X119" s="38">
        <v>7994</v>
      </c>
      <c r="Y119" s="39" t="s">
        <v>540</v>
      </c>
      <c r="Z119" s="39" t="s">
        <v>540</v>
      </c>
      <c r="AA119" s="41" t="s">
        <v>540</v>
      </c>
      <c r="AB119" s="42" t="s">
        <v>540</v>
      </c>
      <c r="AC119" s="40"/>
      <c r="AD119" s="43">
        <v>4551.6889000000001</v>
      </c>
      <c r="AE119" s="39">
        <v>-13.859029144587431</v>
      </c>
      <c r="AF119" s="39">
        <v>121.81719785575052</v>
      </c>
      <c r="AG119" s="43" t="s">
        <v>539</v>
      </c>
      <c r="AH119" s="43">
        <v>5284</v>
      </c>
      <c r="AI119" s="43">
        <v>2052</v>
      </c>
      <c r="AJ119" s="39" t="s">
        <v>539</v>
      </c>
      <c r="AK119" s="39" t="s">
        <v>539</v>
      </c>
      <c r="AL119" s="44"/>
      <c r="AM119" s="43">
        <v>4551.6889000000001</v>
      </c>
      <c r="AN119" s="39">
        <v>-13.842723831156533</v>
      </c>
      <c r="AO119" s="39">
        <v>122.14196681307956</v>
      </c>
      <c r="AP119" s="43" t="s">
        <v>539</v>
      </c>
      <c r="AQ119" s="43">
        <v>5283</v>
      </c>
      <c r="AR119" s="43">
        <v>2049</v>
      </c>
      <c r="AS119" s="39" t="s">
        <v>539</v>
      </c>
      <c r="AT119" s="39" t="s">
        <v>539</v>
      </c>
      <c r="AU119" s="1">
        <v>227351.90733191001</v>
      </c>
    </row>
    <row r="120" spans="1:47" ht="18" customHeight="1" x14ac:dyDescent="0.25">
      <c r="B120" s="2">
        <f>IF(G120=$B$6,MAX(B$7:B119)+1,IF($B$6="Nifty 500 - All Sector",B119+1,0))</f>
        <v>0</v>
      </c>
      <c r="C120" s="36">
        <v>2110</v>
      </c>
      <c r="D120" s="36" t="s">
        <v>139</v>
      </c>
      <c r="E120" s="36" t="s">
        <v>533</v>
      </c>
      <c r="F120" s="36" t="s">
        <v>665</v>
      </c>
      <c r="G120" s="36" t="s">
        <v>604</v>
      </c>
      <c r="H120" s="36" t="s">
        <v>529</v>
      </c>
      <c r="I120" s="37">
        <v>46167</v>
      </c>
      <c r="J120" s="38">
        <v>3266.0285714285715</v>
      </c>
      <c r="K120" s="39">
        <v>9.8249263220596674</v>
      </c>
      <c r="L120" s="39">
        <v>-2.5310497836789736</v>
      </c>
      <c r="M120" s="38" t="s">
        <v>539</v>
      </c>
      <c r="N120" s="38">
        <v>2973.85</v>
      </c>
      <c r="O120" s="38">
        <v>3350.84</v>
      </c>
      <c r="P120" s="39" t="s">
        <v>540</v>
      </c>
      <c r="Q120" s="39" t="s">
        <v>540</v>
      </c>
      <c r="R120" s="40"/>
      <c r="S120" s="38">
        <v>376.68571428571431</v>
      </c>
      <c r="T120" s="39">
        <v>11.533448224580312</v>
      </c>
      <c r="U120" s="39">
        <v>2.5470350780354423</v>
      </c>
      <c r="V120" s="38" t="s">
        <v>539</v>
      </c>
      <c r="W120" s="38">
        <v>342.23</v>
      </c>
      <c r="X120" s="38">
        <v>374.5</v>
      </c>
      <c r="Y120" s="39" t="s">
        <v>540</v>
      </c>
      <c r="Z120" s="39" t="s">
        <v>540</v>
      </c>
      <c r="AA120" s="41" t="s">
        <v>540</v>
      </c>
      <c r="AB120" s="42" t="s">
        <v>540</v>
      </c>
      <c r="AC120" s="40"/>
      <c r="AD120" s="43">
        <v>186.6429</v>
      </c>
      <c r="AE120" s="39">
        <v>11.889515017085305</v>
      </c>
      <c r="AF120" s="39">
        <v>23.042323159074417</v>
      </c>
      <c r="AG120" s="43" t="s">
        <v>539</v>
      </c>
      <c r="AH120" s="43">
        <v>166.81</v>
      </c>
      <c r="AI120" s="43">
        <v>151.69</v>
      </c>
      <c r="AJ120" s="39" t="s">
        <v>539</v>
      </c>
      <c r="AK120" s="39" t="s">
        <v>539</v>
      </c>
      <c r="AL120" s="44"/>
      <c r="AM120" s="43">
        <v>186.6429</v>
      </c>
      <c r="AN120" s="39">
        <v>11.889515017085305</v>
      </c>
      <c r="AO120" s="39">
        <v>23.042323159074417</v>
      </c>
      <c r="AP120" s="43" t="s">
        <v>539</v>
      </c>
      <c r="AQ120" s="43">
        <v>166.81</v>
      </c>
      <c r="AR120" s="43">
        <v>151.69</v>
      </c>
      <c r="AS120" s="39" t="s">
        <v>539</v>
      </c>
      <c r="AT120" s="39" t="s">
        <v>539</v>
      </c>
      <c r="AU120" s="1">
        <v>13840.37802568</v>
      </c>
    </row>
    <row r="121" spans="1:47" ht="18" customHeight="1" x14ac:dyDescent="0.25">
      <c r="B121" s="2">
        <f>IF(G121=$B$6,MAX(B$7:B120)+1,IF($B$6="Nifty 500 - All Sector",B120+1,0))</f>
        <v>0</v>
      </c>
      <c r="C121" s="36">
        <v>337</v>
      </c>
      <c r="D121" s="36" t="s">
        <v>140</v>
      </c>
      <c r="E121" s="36" t="s">
        <v>533</v>
      </c>
      <c r="F121" s="36" t="s">
        <v>666</v>
      </c>
      <c r="G121" s="36" t="s">
        <v>542</v>
      </c>
      <c r="H121" s="36" t="s">
        <v>532</v>
      </c>
      <c r="I121" s="37">
        <v>46169</v>
      </c>
      <c r="J121" s="38">
        <v>2868.9625000000001</v>
      </c>
      <c r="K121" s="39">
        <v>16.772118409859615</v>
      </c>
      <c r="L121" s="39">
        <v>-6.087147944954352</v>
      </c>
      <c r="M121" s="38" t="s">
        <v>539</v>
      </c>
      <c r="N121" s="38">
        <v>2456.8900000000003</v>
      </c>
      <c r="O121" s="38">
        <v>3054.9199999999996</v>
      </c>
      <c r="P121" s="39" t="s">
        <v>540</v>
      </c>
      <c r="Q121" s="39" t="s">
        <v>540</v>
      </c>
      <c r="R121" s="40"/>
      <c r="S121" s="38">
        <v>580.97777777777776</v>
      </c>
      <c r="T121" s="39">
        <v>20.250448647473704</v>
      </c>
      <c r="U121" s="39">
        <v>-90.108845837962548</v>
      </c>
      <c r="V121" s="38" t="s">
        <v>539</v>
      </c>
      <c r="W121" s="38">
        <v>519.66999999999996</v>
      </c>
      <c r="X121" s="38">
        <v>634.47</v>
      </c>
      <c r="Y121" s="39" t="s">
        <v>540</v>
      </c>
      <c r="Z121" s="39" t="s">
        <v>540</v>
      </c>
      <c r="AA121" s="41" t="s">
        <v>540</v>
      </c>
      <c r="AB121" s="42" t="s">
        <v>540</v>
      </c>
      <c r="AC121" s="40"/>
      <c r="AD121" s="43">
        <v>524.16999999999996</v>
      </c>
      <c r="AE121" s="39">
        <v>0.53704662715536866</v>
      </c>
      <c r="AF121" s="39">
        <v>15.685279187817237</v>
      </c>
      <c r="AG121" s="43" t="s">
        <v>539</v>
      </c>
      <c r="AH121" s="43">
        <v>521.37</v>
      </c>
      <c r="AI121" s="43">
        <v>453.1</v>
      </c>
      <c r="AJ121" s="39" t="s">
        <v>539</v>
      </c>
      <c r="AK121" s="39" t="s">
        <v>539</v>
      </c>
      <c r="AL121" s="44"/>
      <c r="AM121" s="43">
        <v>524.16999999999996</v>
      </c>
      <c r="AN121" s="39">
        <v>0.53704662715536866</v>
      </c>
      <c r="AO121" s="39">
        <v>15.685279187817237</v>
      </c>
      <c r="AP121" s="43" t="s">
        <v>539</v>
      </c>
      <c r="AQ121" s="43">
        <v>521.37</v>
      </c>
      <c r="AR121" s="43">
        <v>453.1</v>
      </c>
      <c r="AS121" s="39" t="s">
        <v>539</v>
      </c>
      <c r="AT121" s="39" t="s">
        <v>539</v>
      </c>
      <c r="AU121" s="1">
        <v>138717.81</v>
      </c>
    </row>
    <row r="122" spans="1:47" ht="18" customHeight="1" x14ac:dyDescent="0.25">
      <c r="B122" s="2">
        <f>IF(G122=$B$6,MAX(B$7:B121)+1,IF($B$6="Nifty 500 - All Sector",B121+1,0))</f>
        <v>0</v>
      </c>
      <c r="C122" s="36">
        <v>288</v>
      </c>
      <c r="D122" s="36" t="s">
        <v>141</v>
      </c>
      <c r="E122" s="36" t="s">
        <v>533</v>
      </c>
      <c r="F122" s="36" t="s">
        <v>667</v>
      </c>
      <c r="G122" s="36" t="s">
        <v>625</v>
      </c>
      <c r="H122" s="36" t="s">
        <v>529</v>
      </c>
      <c r="I122" s="37">
        <v>46169</v>
      </c>
      <c r="J122" s="38">
        <v>765.1</v>
      </c>
      <c r="K122" s="39">
        <v>-0.30880685890002368</v>
      </c>
      <c r="L122" s="39">
        <v>-3.1518987341772164</v>
      </c>
      <c r="M122" s="38" t="s">
        <v>539</v>
      </c>
      <c r="N122" s="38">
        <v>767.47</v>
      </c>
      <c r="O122" s="38">
        <v>790</v>
      </c>
      <c r="P122" s="39" t="s">
        <v>540</v>
      </c>
      <c r="Q122" s="39" t="s">
        <v>540</v>
      </c>
      <c r="R122" s="40"/>
      <c r="S122" s="38">
        <v>195.9</v>
      </c>
      <c r="T122" s="39">
        <v>25.604496144294863</v>
      </c>
      <c r="U122" s="39">
        <v>-381.16373853545014</v>
      </c>
      <c r="V122" s="38" t="s">
        <v>539</v>
      </c>
      <c r="W122" s="38">
        <v>225.76</v>
      </c>
      <c r="X122" s="38">
        <v>247.77</v>
      </c>
      <c r="Y122" s="39" t="s">
        <v>540</v>
      </c>
      <c r="Z122" s="39" t="s">
        <v>540</v>
      </c>
      <c r="AA122" s="41" t="s">
        <v>540</v>
      </c>
      <c r="AB122" s="42" t="s">
        <v>540</v>
      </c>
      <c r="AC122" s="40"/>
      <c r="AD122" s="43">
        <v>130.1</v>
      </c>
      <c r="AE122" s="39">
        <v>-18.011091504915555</v>
      </c>
      <c r="AF122" s="39">
        <v>-24.562217325756709</v>
      </c>
      <c r="AG122" s="43" t="s">
        <v>539</v>
      </c>
      <c r="AH122" s="43">
        <v>158.68</v>
      </c>
      <c r="AI122" s="43">
        <v>172.46</v>
      </c>
      <c r="AJ122" s="39" t="s">
        <v>539</v>
      </c>
      <c r="AK122" s="39" t="s">
        <v>539</v>
      </c>
      <c r="AL122" s="44"/>
      <c r="AM122" s="43">
        <v>130.1</v>
      </c>
      <c r="AN122" s="39">
        <v>-18.011091504915555</v>
      </c>
      <c r="AO122" s="39">
        <v>-24.562217325756709</v>
      </c>
      <c r="AP122" s="43" t="s">
        <v>539</v>
      </c>
      <c r="AQ122" s="43">
        <v>158.68</v>
      </c>
      <c r="AR122" s="43">
        <v>172.46</v>
      </c>
      <c r="AS122" s="39" t="s">
        <v>539</v>
      </c>
      <c r="AT122" s="39" t="s">
        <v>539</v>
      </c>
      <c r="AU122" s="1">
        <v>25477.729467960002</v>
      </c>
    </row>
    <row r="123" spans="1:47" ht="18" customHeight="1" x14ac:dyDescent="0.25">
      <c r="A123" s="1" t="e">
        <f>IF(AND(I123&gt;=$A$2,I123&lt;=$A$3,AU123&gt;=$A$4)*1,MAX(A$6:A122)+1,0)</f>
        <v>#REF!</v>
      </c>
      <c r="B123" s="2">
        <f>IF(G123=$B$6,MAX(B$7:B122)+1,IF($B$6="Nifty 500 - All Sector",B122+1,0))</f>
        <v>0</v>
      </c>
      <c r="C123" s="36">
        <v>123</v>
      </c>
      <c r="D123" s="36" t="s">
        <v>142</v>
      </c>
      <c r="E123" s="36" t="s">
        <v>527</v>
      </c>
      <c r="F123" s="36" t="s">
        <v>668</v>
      </c>
      <c r="G123" s="36" t="s">
        <v>669</v>
      </c>
      <c r="H123" s="36" t="s">
        <v>535</v>
      </c>
      <c r="I123" s="37" t="s">
        <v>540</v>
      </c>
      <c r="J123" s="38">
        <v>6003.1666666666661</v>
      </c>
      <c r="K123" s="39">
        <v>20.342769243516766</v>
      </c>
      <c r="L123" s="39">
        <v>-31.622520013592357</v>
      </c>
      <c r="M123" s="38" t="s">
        <v>539</v>
      </c>
      <c r="N123" s="38">
        <v>4988.3900000000003</v>
      </c>
      <c r="O123" s="38">
        <v>8779.4500000000007</v>
      </c>
      <c r="P123" s="39" t="s">
        <v>540</v>
      </c>
      <c r="Q123" s="39" t="s">
        <v>540</v>
      </c>
      <c r="R123" s="40"/>
      <c r="S123" s="38">
        <v>516.9</v>
      </c>
      <c r="T123" s="39">
        <v>8.6104555928815358</v>
      </c>
      <c r="U123" s="39">
        <v>7.0425643338698052</v>
      </c>
      <c r="V123" s="38" t="s">
        <v>539</v>
      </c>
      <c r="W123" s="38">
        <v>426.01</v>
      </c>
      <c r="X123" s="38">
        <v>799.63999999999896</v>
      </c>
      <c r="Y123" s="39" t="s">
        <v>540</v>
      </c>
      <c r="Z123" s="39" t="s">
        <v>540</v>
      </c>
      <c r="AA123" s="41" t="s">
        <v>540</v>
      </c>
      <c r="AB123" s="42" t="s">
        <v>540</v>
      </c>
      <c r="AC123" s="40"/>
      <c r="AD123" s="43">
        <v>300.14</v>
      </c>
      <c r="AE123" s="39">
        <v>-49.564779028734677</v>
      </c>
      <c r="AF123" s="39">
        <v>-38.555080148217783</v>
      </c>
      <c r="AG123" s="43" t="s">
        <v>539</v>
      </c>
      <c r="AH123" s="43">
        <v>595.1</v>
      </c>
      <c r="AI123" s="43">
        <v>488.469999999999</v>
      </c>
      <c r="AJ123" s="39" t="s">
        <v>539</v>
      </c>
      <c r="AK123" s="39" t="s">
        <v>539</v>
      </c>
      <c r="AL123" s="44"/>
      <c r="AM123" s="43">
        <v>300.14</v>
      </c>
      <c r="AN123" s="39">
        <v>-48.222264391809134</v>
      </c>
      <c r="AO123" s="39">
        <v>-40.669724045228115</v>
      </c>
      <c r="AP123" s="43" t="s">
        <v>539</v>
      </c>
      <c r="AQ123" s="43">
        <v>579.66999999999996</v>
      </c>
      <c r="AR123" s="43">
        <v>505.88</v>
      </c>
      <c r="AS123" s="39" t="s">
        <v>539</v>
      </c>
      <c r="AT123" s="39" t="s">
        <v>539</v>
      </c>
      <c r="AU123" s="1">
        <v>61581.355744859997</v>
      </c>
    </row>
    <row r="124" spans="1:47" ht="18" customHeight="1" x14ac:dyDescent="0.25">
      <c r="B124" s="2">
        <f>IF(G124=$B$6,MAX(B$7:B123)+1,IF($B$6="Nifty 500 - All Sector",B123+1,0))</f>
        <v>0</v>
      </c>
      <c r="C124" s="36">
        <v>2461</v>
      </c>
      <c r="D124" s="36" t="s">
        <v>143</v>
      </c>
      <c r="E124" s="36" t="s">
        <v>527</v>
      </c>
      <c r="F124" s="36" t="s">
        <v>670</v>
      </c>
      <c r="G124" s="36" t="s">
        <v>669</v>
      </c>
      <c r="H124" s="36" t="s">
        <v>535</v>
      </c>
      <c r="I124" s="37" t="s">
        <v>540</v>
      </c>
      <c r="J124" s="38">
        <v>16860.787499999999</v>
      </c>
      <c r="K124" s="39">
        <v>8.2693604315160698</v>
      </c>
      <c r="L124" s="39">
        <v>37.425931208737452</v>
      </c>
      <c r="M124" s="38" t="s">
        <v>539</v>
      </c>
      <c r="N124" s="38">
        <v>15573</v>
      </c>
      <c r="O124" s="38">
        <v>12269</v>
      </c>
      <c r="P124" s="39" t="s">
        <v>540</v>
      </c>
      <c r="Q124" s="39" t="s">
        <v>540</v>
      </c>
      <c r="R124" s="40"/>
      <c r="S124" s="38">
        <v>3483.8428571428572</v>
      </c>
      <c r="T124" s="39">
        <v>20.66239703894529</v>
      </c>
      <c r="U124" s="39">
        <v>17.180434646471454</v>
      </c>
      <c r="V124" s="38" t="s">
        <v>539</v>
      </c>
      <c r="W124" s="38">
        <v>3191</v>
      </c>
      <c r="X124" s="38">
        <v>2317</v>
      </c>
      <c r="Y124" s="39" t="s">
        <v>540</v>
      </c>
      <c r="Z124" s="39" t="s">
        <v>540</v>
      </c>
      <c r="AA124" s="41" t="s">
        <v>540</v>
      </c>
      <c r="AB124" s="42" t="s">
        <v>540</v>
      </c>
      <c r="AC124" s="40"/>
      <c r="AD124" s="43">
        <v>1325.7</v>
      </c>
      <c r="AE124" s="39">
        <v>19.864376130198913</v>
      </c>
      <c r="AF124" s="39">
        <v>132.17162872154117</v>
      </c>
      <c r="AG124" s="43" t="s">
        <v>539</v>
      </c>
      <c r="AH124" s="43">
        <v>1106</v>
      </c>
      <c r="AI124" s="43">
        <v>571</v>
      </c>
      <c r="AJ124" s="39" t="s">
        <v>539</v>
      </c>
      <c r="AK124" s="39" t="s">
        <v>539</v>
      </c>
      <c r="AL124" s="44"/>
      <c r="AM124" s="43">
        <v>1325.7</v>
      </c>
      <c r="AN124" s="39">
        <v>47.957589285714299</v>
      </c>
      <c r="AO124" s="39">
        <v>234.77272727272725</v>
      </c>
      <c r="AP124" s="43" t="s">
        <v>539</v>
      </c>
      <c r="AQ124" s="43">
        <v>896</v>
      </c>
      <c r="AR124" s="43">
        <v>396</v>
      </c>
      <c r="AS124" s="39" t="s">
        <v>539</v>
      </c>
      <c r="AT124" s="39" t="s">
        <v>539</v>
      </c>
      <c r="AU124" s="1">
        <v>55710.954141410002</v>
      </c>
    </row>
    <row r="125" spans="1:47" ht="18" customHeight="1" x14ac:dyDescent="0.25">
      <c r="B125" s="2">
        <f>IF(G125=$B$6,MAX(B$7:B124)+1,IF($B$6="Nifty 500 - All Sector",B124+1,0))</f>
        <v>0</v>
      </c>
      <c r="C125" s="36">
        <v>2301</v>
      </c>
      <c r="D125" s="36" t="s">
        <v>144</v>
      </c>
      <c r="E125" s="36" t="s">
        <v>527</v>
      </c>
      <c r="F125" s="36" t="s">
        <v>671</v>
      </c>
      <c r="G125" s="36" t="s">
        <v>669</v>
      </c>
      <c r="H125" s="36" t="s">
        <v>529</v>
      </c>
      <c r="I125" s="37" t="s">
        <v>540</v>
      </c>
      <c r="J125" s="38" t="s">
        <v>539</v>
      </c>
      <c r="K125" s="39" t="s">
        <v>540</v>
      </c>
      <c r="L125" s="39" t="s">
        <v>540</v>
      </c>
      <c r="M125" s="38" t="s">
        <v>539</v>
      </c>
      <c r="N125" s="38">
        <v>1053.28</v>
      </c>
      <c r="O125" s="38">
        <v>1567.84</v>
      </c>
      <c r="P125" s="39" t="s">
        <v>540</v>
      </c>
      <c r="Q125" s="39" t="s">
        <v>540</v>
      </c>
      <c r="R125" s="40"/>
      <c r="S125" s="38" t="s">
        <v>539</v>
      </c>
      <c r="T125" s="39" t="s">
        <v>540</v>
      </c>
      <c r="U125" s="39" t="s">
        <v>540</v>
      </c>
      <c r="V125" s="38" t="s">
        <v>539</v>
      </c>
      <c r="W125" s="38">
        <v>84.829999999999899</v>
      </c>
      <c r="X125" s="38">
        <v>-42.880000000000102</v>
      </c>
      <c r="Y125" s="39" t="s">
        <v>540</v>
      </c>
      <c r="Z125" s="39" t="s">
        <v>540</v>
      </c>
      <c r="AA125" s="41" t="s">
        <v>540</v>
      </c>
      <c r="AB125" s="42" t="s">
        <v>540</v>
      </c>
      <c r="AC125" s="40"/>
      <c r="AD125" s="43" t="s">
        <v>540</v>
      </c>
      <c r="AE125" s="39" t="s">
        <v>539</v>
      </c>
      <c r="AF125" s="39" t="s">
        <v>547</v>
      </c>
      <c r="AG125" s="43" t="s">
        <v>539</v>
      </c>
      <c r="AH125" s="43">
        <v>70.72</v>
      </c>
      <c r="AI125" s="43">
        <v>-67.900000000000105</v>
      </c>
      <c r="AJ125" s="39" t="s">
        <v>539</v>
      </c>
      <c r="AK125" s="39" t="s">
        <v>547</v>
      </c>
      <c r="AL125" s="44"/>
      <c r="AM125" s="43" t="s">
        <v>539</v>
      </c>
      <c r="AN125" s="39" t="s">
        <v>539</v>
      </c>
      <c r="AO125" s="39" t="s">
        <v>547</v>
      </c>
      <c r="AP125" s="43" t="s">
        <v>539</v>
      </c>
      <c r="AQ125" s="43">
        <v>70.72</v>
      </c>
      <c r="AR125" s="43">
        <v>-67.900000000000006</v>
      </c>
      <c r="AS125" s="39" t="s">
        <v>539</v>
      </c>
      <c r="AT125" s="39" t="s">
        <v>547</v>
      </c>
      <c r="AU125" s="1">
        <v>56084.96334645</v>
      </c>
    </row>
    <row r="126" spans="1:47" ht="18" customHeight="1" x14ac:dyDescent="0.25">
      <c r="B126" s="2">
        <f>IF(G126=$B$6,MAX(B$7:B125)+1,IF($B$6="Nifty 500 - All Sector",B125+1,0))</f>
        <v>0</v>
      </c>
      <c r="C126" s="36">
        <v>2650</v>
      </c>
      <c r="D126" s="36" t="s">
        <v>145</v>
      </c>
      <c r="E126" s="36" t="s">
        <v>527</v>
      </c>
      <c r="F126" s="36" t="s">
        <v>672</v>
      </c>
      <c r="G126" s="36" t="s">
        <v>669</v>
      </c>
      <c r="H126" s="36" t="s">
        <v>535</v>
      </c>
      <c r="I126" s="37" t="s">
        <v>540</v>
      </c>
      <c r="J126" s="38">
        <v>1729.2</v>
      </c>
      <c r="K126" s="39">
        <v>-3.2398858485814919</v>
      </c>
      <c r="L126" s="39">
        <v>25.696009304354138</v>
      </c>
      <c r="M126" s="38" t="s">
        <v>539</v>
      </c>
      <c r="N126" s="38">
        <v>1787.1</v>
      </c>
      <c r="O126" s="38">
        <v>1375.7</v>
      </c>
      <c r="P126" s="39" t="s">
        <v>540</v>
      </c>
      <c r="Q126" s="39" t="s">
        <v>540</v>
      </c>
      <c r="R126" s="40"/>
      <c r="S126" s="38">
        <v>433.07777777777773</v>
      </c>
      <c r="T126" s="39">
        <v>25.044979052612636</v>
      </c>
      <c r="U126" s="39">
        <v>-44.883774555199096</v>
      </c>
      <c r="V126" s="38" t="s">
        <v>539</v>
      </c>
      <c r="W126" s="38">
        <v>455.6</v>
      </c>
      <c r="X126" s="38">
        <v>302.3</v>
      </c>
      <c r="Y126" s="39" t="s">
        <v>540</v>
      </c>
      <c r="Z126" s="39" t="s">
        <v>540</v>
      </c>
      <c r="AA126" s="41" t="s">
        <v>540</v>
      </c>
      <c r="AB126" s="42" t="s">
        <v>540</v>
      </c>
      <c r="AC126" s="40"/>
      <c r="AD126" s="43">
        <v>327.54000000000002</v>
      </c>
      <c r="AE126" s="39">
        <v>-0.50425273390035663</v>
      </c>
      <c r="AF126" s="39">
        <v>5.3522032807977071</v>
      </c>
      <c r="AG126" s="43" t="s">
        <v>539</v>
      </c>
      <c r="AH126" s="43">
        <v>329.2</v>
      </c>
      <c r="AI126" s="43">
        <v>310.89999999999998</v>
      </c>
      <c r="AJ126" s="39" t="s">
        <v>539</v>
      </c>
      <c r="AK126" s="39" t="s">
        <v>539</v>
      </c>
      <c r="AL126" s="44"/>
      <c r="AM126" s="43">
        <v>327.54000000000002</v>
      </c>
      <c r="AN126" s="39">
        <v>-0.8956127080181453</v>
      </c>
      <c r="AO126" s="39">
        <v>5.2168326373273288</v>
      </c>
      <c r="AP126" s="43" t="s">
        <v>539</v>
      </c>
      <c r="AQ126" s="43">
        <v>330.5</v>
      </c>
      <c r="AR126" s="43">
        <v>311.3</v>
      </c>
      <c r="AS126" s="39" t="s">
        <v>539</v>
      </c>
      <c r="AT126" s="39" t="s">
        <v>539</v>
      </c>
      <c r="AU126" s="1">
        <v>46098.791563710001</v>
      </c>
    </row>
    <row r="127" spans="1:47" ht="18" customHeight="1" x14ac:dyDescent="0.25">
      <c r="B127" s="2">
        <f>IF(G127=$B$6,MAX(B$7:B126)+1,IF($B$6="Nifty 500 - All Sector",B126+1,0))</f>
        <v>0</v>
      </c>
      <c r="C127" s="36">
        <v>1742</v>
      </c>
      <c r="D127" s="36" t="s">
        <v>146</v>
      </c>
      <c r="E127" s="36" t="s">
        <v>527</v>
      </c>
      <c r="F127" s="36" t="s">
        <v>673</v>
      </c>
      <c r="G127" s="36" t="s">
        <v>669</v>
      </c>
      <c r="H127" s="36" t="s">
        <v>535</v>
      </c>
      <c r="I127" s="37" t="s">
        <v>540</v>
      </c>
      <c r="J127" s="38" t="s">
        <v>539</v>
      </c>
      <c r="K127" s="39" t="s">
        <v>540</v>
      </c>
      <c r="L127" s="39" t="s">
        <v>540</v>
      </c>
      <c r="M127" s="38" t="s">
        <v>539</v>
      </c>
      <c r="N127" s="38">
        <v>5779.69</v>
      </c>
      <c r="O127" s="38">
        <v>5051.1899999999996</v>
      </c>
      <c r="P127" s="39" t="s">
        <v>540</v>
      </c>
      <c r="Q127" s="39" t="s">
        <v>540</v>
      </c>
      <c r="R127" s="40"/>
      <c r="S127" s="38" t="s">
        <v>539</v>
      </c>
      <c r="T127" s="39" t="s">
        <v>540</v>
      </c>
      <c r="U127" s="39" t="s">
        <v>540</v>
      </c>
      <c r="V127" s="38" t="s">
        <v>539</v>
      </c>
      <c r="W127" s="38">
        <v>593.39</v>
      </c>
      <c r="X127" s="38">
        <v>544.12999999999897</v>
      </c>
      <c r="Y127" s="39" t="s">
        <v>540</v>
      </c>
      <c r="Z127" s="39" t="s">
        <v>540</v>
      </c>
      <c r="AA127" s="41" t="s">
        <v>540</v>
      </c>
      <c r="AB127" s="42" t="s">
        <v>540</v>
      </c>
      <c r="AC127" s="40"/>
      <c r="AD127" s="43" t="s">
        <v>540</v>
      </c>
      <c r="AE127" s="39" t="s">
        <v>539</v>
      </c>
      <c r="AF127" s="39" t="s">
        <v>539</v>
      </c>
      <c r="AG127" s="43" t="s">
        <v>539</v>
      </c>
      <c r="AH127" s="43">
        <v>341.4</v>
      </c>
      <c r="AI127" s="43">
        <v>241.26999999999899</v>
      </c>
      <c r="AJ127" s="39" t="s">
        <v>539</v>
      </c>
      <c r="AK127" s="39" t="s">
        <v>539</v>
      </c>
      <c r="AL127" s="44"/>
      <c r="AM127" s="43" t="s">
        <v>539</v>
      </c>
      <c r="AN127" s="39" t="s">
        <v>539</v>
      </c>
      <c r="AO127" s="39" t="s">
        <v>539</v>
      </c>
      <c r="AP127" s="43" t="s">
        <v>539</v>
      </c>
      <c r="AQ127" s="43">
        <v>183.08</v>
      </c>
      <c r="AR127" s="43">
        <v>204.55</v>
      </c>
      <c r="AS127" s="39" t="s">
        <v>539</v>
      </c>
      <c r="AT127" s="39" t="s">
        <v>539</v>
      </c>
      <c r="AU127" s="1">
        <v>30539.779048349999</v>
      </c>
    </row>
    <row r="128" spans="1:47" ht="18" customHeight="1" x14ac:dyDescent="0.25">
      <c r="B128" s="2">
        <f>IF(G128=$B$6,MAX(B$7:B127)+1,IF($B$6="Nifty 500 - All Sector",B127+1,0))</f>
        <v>0</v>
      </c>
      <c r="C128" s="36">
        <v>62</v>
      </c>
      <c r="D128" s="36" t="s">
        <v>147</v>
      </c>
      <c r="E128" s="36" t="s">
        <v>533</v>
      </c>
      <c r="F128" s="36" t="s">
        <v>674</v>
      </c>
      <c r="G128" s="36" t="s">
        <v>669</v>
      </c>
      <c r="H128" s="36" t="s">
        <v>529</v>
      </c>
      <c r="I128" s="37" t="s">
        <v>540</v>
      </c>
      <c r="J128" s="38">
        <v>1128.4000000000001</v>
      </c>
      <c r="K128" s="39">
        <v>7.8363914373088761</v>
      </c>
      <c r="L128" s="39">
        <v>2.006870367022251</v>
      </c>
      <c r="M128" s="38" t="s">
        <v>539</v>
      </c>
      <c r="N128" s="38">
        <v>1046.4000000000001</v>
      </c>
      <c r="O128" s="38">
        <v>1106.2</v>
      </c>
      <c r="P128" s="39" t="s">
        <v>540</v>
      </c>
      <c r="Q128" s="39" t="s">
        <v>540</v>
      </c>
      <c r="R128" s="40"/>
      <c r="S128" s="38">
        <v>195.73333333333332</v>
      </c>
      <c r="T128" s="39">
        <v>17.346094765449603</v>
      </c>
      <c r="U128" s="39">
        <v>102.34647960306447</v>
      </c>
      <c r="V128" s="38" t="s">
        <v>539</v>
      </c>
      <c r="W128" s="38">
        <v>170.8</v>
      </c>
      <c r="X128" s="38">
        <v>117.1</v>
      </c>
      <c r="Y128" s="39" t="s">
        <v>540</v>
      </c>
      <c r="Z128" s="39" t="s">
        <v>540</v>
      </c>
      <c r="AA128" s="41" t="s">
        <v>540</v>
      </c>
      <c r="AB128" s="42" t="s">
        <v>540</v>
      </c>
      <c r="AC128" s="40"/>
      <c r="AD128" s="43">
        <v>152.02500000000001</v>
      </c>
      <c r="AE128" s="39">
        <v>6.0886252616887626</v>
      </c>
      <c r="AF128" s="39">
        <v>58.855799373040753</v>
      </c>
      <c r="AG128" s="43" t="s">
        <v>539</v>
      </c>
      <c r="AH128" s="43">
        <v>143.30000000000001</v>
      </c>
      <c r="AI128" s="43">
        <v>95.7</v>
      </c>
      <c r="AJ128" s="39" t="s">
        <v>539</v>
      </c>
      <c r="AK128" s="39" t="s">
        <v>539</v>
      </c>
      <c r="AL128" s="44"/>
      <c r="AM128" s="43">
        <v>152.02500000000001</v>
      </c>
      <c r="AN128" s="39">
        <v>6.0886252616887626</v>
      </c>
      <c r="AO128" s="39">
        <v>58.855799373040753</v>
      </c>
      <c r="AP128" s="43" t="s">
        <v>539</v>
      </c>
      <c r="AQ128" s="43">
        <v>143.30000000000001</v>
      </c>
      <c r="AR128" s="43">
        <v>95.7</v>
      </c>
      <c r="AS128" s="39" t="s">
        <v>539</v>
      </c>
      <c r="AT128" s="39" t="s">
        <v>539</v>
      </c>
      <c r="AU128" s="1">
        <v>22461.832871139999</v>
      </c>
    </row>
    <row r="129" spans="2:47" ht="18" customHeight="1" x14ac:dyDescent="0.25">
      <c r="B129" s="2">
        <f>IF(G129=$B$6,MAX(B$7:B128)+1,IF($B$6="Nifty 500 - All Sector",B128+1,0))</f>
        <v>0</v>
      </c>
      <c r="C129" s="36">
        <v>23986</v>
      </c>
      <c r="D129" s="36" t="s">
        <v>148</v>
      </c>
      <c r="E129" s="36" t="s">
        <v>527</v>
      </c>
      <c r="F129" s="36" t="s">
        <v>675</v>
      </c>
      <c r="G129" s="36" t="s">
        <v>669</v>
      </c>
      <c r="H129" s="36" t="s">
        <v>529</v>
      </c>
      <c r="I129" s="37" t="s">
        <v>540</v>
      </c>
      <c r="J129" s="38">
        <v>645.20000000000005</v>
      </c>
      <c r="K129" s="39">
        <v>-5.0367886774179809</v>
      </c>
      <c r="L129" s="39">
        <v>13.595949138875119</v>
      </c>
      <c r="M129" s="38" t="s">
        <v>539</v>
      </c>
      <c r="N129" s="38">
        <v>679.42100000000005</v>
      </c>
      <c r="O129" s="38">
        <v>567.97799999999995</v>
      </c>
      <c r="P129" s="39" t="s">
        <v>540</v>
      </c>
      <c r="Q129" s="39" t="s">
        <v>540</v>
      </c>
      <c r="R129" s="40"/>
      <c r="S129" s="38">
        <v>115.6</v>
      </c>
      <c r="T129" s="39">
        <v>17.91692498450093</v>
      </c>
      <c r="U129" s="39">
        <v>31.929406052301701</v>
      </c>
      <c r="V129" s="38" t="s">
        <v>539</v>
      </c>
      <c r="W129" s="38">
        <v>119.562</v>
      </c>
      <c r="X129" s="38">
        <v>99.484999999999999</v>
      </c>
      <c r="Y129" s="39" t="s">
        <v>540</v>
      </c>
      <c r="Z129" s="39" t="s">
        <v>540</v>
      </c>
      <c r="AA129" s="41" t="s">
        <v>540</v>
      </c>
      <c r="AB129" s="42" t="s">
        <v>540</v>
      </c>
      <c r="AC129" s="40"/>
      <c r="AD129" s="43">
        <v>99.4</v>
      </c>
      <c r="AE129" s="39">
        <v>-0.38582953349700633</v>
      </c>
      <c r="AF129" s="39">
        <v>31.134564643799312</v>
      </c>
      <c r="AG129" s="43" t="s">
        <v>539</v>
      </c>
      <c r="AH129" s="43">
        <v>99.784999999999997</v>
      </c>
      <c r="AI129" s="43">
        <v>75.800000000000097</v>
      </c>
      <c r="AJ129" s="39" t="s">
        <v>539</v>
      </c>
      <c r="AK129" s="39" t="s">
        <v>539</v>
      </c>
      <c r="AL129" s="44"/>
      <c r="AM129" s="43">
        <v>99.4</v>
      </c>
      <c r="AN129" s="39">
        <v>-0.18476863753212891</v>
      </c>
      <c r="AO129" s="39">
        <v>31.429326986645535</v>
      </c>
      <c r="AP129" s="43" t="s">
        <v>539</v>
      </c>
      <c r="AQ129" s="43">
        <v>99.584000000000003</v>
      </c>
      <c r="AR129" s="43">
        <v>75.63</v>
      </c>
      <c r="AS129" s="39" t="s">
        <v>539</v>
      </c>
      <c r="AT129" s="39" t="s">
        <v>539</v>
      </c>
      <c r="AU129" s="1">
        <v>21403.369159680002</v>
      </c>
    </row>
    <row r="130" spans="2:47" ht="18" customHeight="1" x14ac:dyDescent="0.25">
      <c r="B130" s="2">
        <f>IF(G130=$B$6,MAX(B$7:B129)+1,IF($B$6="Nifty 500 - All Sector",B129+1,0))</f>
        <v>0</v>
      </c>
      <c r="C130" s="36">
        <v>3029</v>
      </c>
      <c r="D130" s="36" t="s">
        <v>149</v>
      </c>
      <c r="E130" s="36" t="s">
        <v>527</v>
      </c>
      <c r="F130" s="36" t="s">
        <v>676</v>
      </c>
      <c r="G130" s="36" t="s">
        <v>669</v>
      </c>
      <c r="H130" s="36" t="s">
        <v>529</v>
      </c>
      <c r="I130" s="37" t="s">
        <v>540</v>
      </c>
      <c r="J130" s="38">
        <v>3202.05</v>
      </c>
      <c r="K130" s="39">
        <v>30.7637020006289</v>
      </c>
      <c r="L130" s="39">
        <v>-45.711955729316777</v>
      </c>
      <c r="M130" s="38" t="s">
        <v>539</v>
      </c>
      <c r="N130" s="38">
        <v>2448.73</v>
      </c>
      <c r="O130" s="38">
        <v>5898.26</v>
      </c>
      <c r="P130" s="39" t="s">
        <v>540</v>
      </c>
      <c r="Q130" s="39" t="s">
        <v>540</v>
      </c>
      <c r="R130" s="40"/>
      <c r="S130" s="38">
        <v>1619.45</v>
      </c>
      <c r="T130" s="39">
        <v>50.575412626286287</v>
      </c>
      <c r="U130" s="39">
        <v>4390.419938513679</v>
      </c>
      <c r="V130" s="38" t="s">
        <v>539</v>
      </c>
      <c r="W130" s="38">
        <v>163.36000000000001</v>
      </c>
      <c r="X130" s="38">
        <v>820.74</v>
      </c>
      <c r="Y130" s="39" t="s">
        <v>540</v>
      </c>
      <c r="Z130" s="39" t="s">
        <v>540</v>
      </c>
      <c r="AA130" s="41" t="s">
        <v>540</v>
      </c>
      <c r="AB130" s="42" t="s">
        <v>540</v>
      </c>
      <c r="AC130" s="40"/>
      <c r="AD130" s="43">
        <v>1586.5</v>
      </c>
      <c r="AE130" s="39">
        <v>1492.8714859437703</v>
      </c>
      <c r="AF130" s="39">
        <v>181.04517271922055</v>
      </c>
      <c r="AG130" s="43" t="s">
        <v>539</v>
      </c>
      <c r="AH130" s="43">
        <v>99.600000000000307</v>
      </c>
      <c r="AI130" s="43">
        <v>564.5</v>
      </c>
      <c r="AJ130" s="39" t="s">
        <v>539</v>
      </c>
      <c r="AK130" s="39" t="s">
        <v>539</v>
      </c>
      <c r="AL130" s="44"/>
      <c r="AM130" s="43">
        <v>1586.5</v>
      </c>
      <c r="AN130" s="39">
        <v>1117.0144216017181</v>
      </c>
      <c r="AO130" s="39">
        <v>170.5444995822036</v>
      </c>
      <c r="AP130" s="43" t="s">
        <v>539</v>
      </c>
      <c r="AQ130" s="43">
        <v>130.36000000000001</v>
      </c>
      <c r="AR130" s="43">
        <v>586.41</v>
      </c>
      <c r="AS130" s="39" t="s">
        <v>539</v>
      </c>
      <c r="AT130" s="39" t="s">
        <v>539</v>
      </c>
      <c r="AU130" s="1">
        <v>18271.748004685</v>
      </c>
    </row>
    <row r="131" spans="2:47" ht="18" customHeight="1" x14ac:dyDescent="0.25">
      <c r="B131" s="2">
        <f>IF(G131=$B$6,MAX(B$7:B130)+1,IF($B$6="Nifty 500 - All Sector",B130+1,0))</f>
        <v>0</v>
      </c>
      <c r="C131" s="36">
        <v>151</v>
      </c>
      <c r="D131" s="36" t="s">
        <v>150</v>
      </c>
      <c r="E131" s="36" t="s">
        <v>527</v>
      </c>
      <c r="F131" s="36" t="s">
        <v>677</v>
      </c>
      <c r="G131" s="36" t="s">
        <v>604</v>
      </c>
      <c r="H131" s="36" t="s">
        <v>532</v>
      </c>
      <c r="I131" s="37" t="s">
        <v>540</v>
      </c>
      <c r="J131" s="38">
        <v>5957.0687500000004</v>
      </c>
      <c r="K131" s="39">
        <v>13.660441204248741</v>
      </c>
      <c r="L131" s="39">
        <v>-2.5673899745503714</v>
      </c>
      <c r="M131" s="38" t="s">
        <v>539</v>
      </c>
      <c r="N131" s="38">
        <v>5241.1099999999997</v>
      </c>
      <c r="O131" s="38">
        <v>6114.04</v>
      </c>
      <c r="P131" s="39" t="s">
        <v>540</v>
      </c>
      <c r="Q131" s="39" t="s">
        <v>540</v>
      </c>
      <c r="R131" s="40"/>
      <c r="S131" s="38">
        <v>1490.2684210526315</v>
      </c>
      <c r="T131" s="39">
        <v>25.016807486947862</v>
      </c>
      <c r="U131" s="39">
        <v>102.01731861985905</v>
      </c>
      <c r="V131" s="38" t="s">
        <v>539</v>
      </c>
      <c r="W131" s="38">
        <v>1257.69</v>
      </c>
      <c r="X131" s="38">
        <v>1556.72</v>
      </c>
      <c r="Y131" s="39" t="s">
        <v>540</v>
      </c>
      <c r="Z131" s="39" t="s">
        <v>540</v>
      </c>
      <c r="AA131" s="41" t="s">
        <v>540</v>
      </c>
      <c r="AB131" s="42" t="s">
        <v>540</v>
      </c>
      <c r="AC131" s="40"/>
      <c r="AD131" s="43">
        <v>1448.0889000000002</v>
      </c>
      <c r="AE131" s="39">
        <v>29.971359589287005</v>
      </c>
      <c r="AF131" s="39">
        <v>17.001211954721374</v>
      </c>
      <c r="AG131" s="43" t="s">
        <v>539</v>
      </c>
      <c r="AH131" s="43">
        <v>1114.1600000000001</v>
      </c>
      <c r="AI131" s="43">
        <v>1237.67</v>
      </c>
      <c r="AJ131" s="39" t="s">
        <v>539</v>
      </c>
      <c r="AK131" s="39" t="s">
        <v>539</v>
      </c>
      <c r="AL131" s="44"/>
      <c r="AM131" s="43">
        <v>1448.0889000000002</v>
      </c>
      <c r="AN131" s="39">
        <v>6.3090628785376079</v>
      </c>
      <c r="AO131" s="39">
        <v>1.9343028698939335</v>
      </c>
      <c r="AP131" s="43" t="s">
        <v>539</v>
      </c>
      <c r="AQ131" s="43">
        <v>1362.15</v>
      </c>
      <c r="AR131" s="43">
        <v>1420.61</v>
      </c>
      <c r="AS131" s="39" t="s">
        <v>539</v>
      </c>
      <c r="AT131" s="39" t="s">
        <v>539</v>
      </c>
      <c r="AU131" s="1">
        <v>195532.53618222001</v>
      </c>
    </row>
    <row r="132" spans="2:47" ht="18" customHeight="1" x14ac:dyDescent="0.25">
      <c r="B132" s="2">
        <f>IF(G132=$B$6,MAX(B$7:B131)+1,IF($B$6="Nifty 500 - All Sector",B131+1,0))</f>
        <v>0</v>
      </c>
      <c r="C132" s="36">
        <v>8029</v>
      </c>
      <c r="D132" s="36" t="s">
        <v>151</v>
      </c>
      <c r="E132" s="36" t="s">
        <v>533</v>
      </c>
      <c r="F132" s="36" t="s">
        <v>678</v>
      </c>
      <c r="G132" s="36" t="s">
        <v>604</v>
      </c>
      <c r="H132" s="36" t="s">
        <v>532</v>
      </c>
      <c r="I132" s="37" t="s">
        <v>540</v>
      </c>
      <c r="J132" s="38">
        <v>12276.194117647059</v>
      </c>
      <c r="K132" s="39">
        <v>28.540612973298174</v>
      </c>
      <c r="L132" s="39">
        <v>-1.6035725638367637</v>
      </c>
      <c r="M132" s="38" t="s">
        <v>539</v>
      </c>
      <c r="N132" s="38">
        <v>9550.44</v>
      </c>
      <c r="O132" s="38">
        <v>12476.26</v>
      </c>
      <c r="P132" s="39" t="s">
        <v>540</v>
      </c>
      <c r="Q132" s="39" t="s">
        <v>540</v>
      </c>
      <c r="R132" s="40"/>
      <c r="S132" s="38">
        <v>1587.8687500000001</v>
      </c>
      <c r="T132" s="39">
        <v>12.934536019737866</v>
      </c>
      <c r="U132" s="39">
        <v>-101.90619296759832</v>
      </c>
      <c r="V132" s="38" t="s">
        <v>539</v>
      </c>
      <c r="W132" s="38">
        <v>1332.63</v>
      </c>
      <c r="X132" s="38">
        <v>1634.09</v>
      </c>
      <c r="Y132" s="39" t="s">
        <v>540</v>
      </c>
      <c r="Z132" s="39" t="s">
        <v>540</v>
      </c>
      <c r="AA132" s="41" t="s">
        <v>540</v>
      </c>
      <c r="AB132" s="42" t="s">
        <v>540</v>
      </c>
      <c r="AC132" s="40"/>
      <c r="AD132" s="43">
        <v>981.94709999999998</v>
      </c>
      <c r="AE132" s="39">
        <v>15.235776651175881</v>
      </c>
      <c r="AF132" s="39">
        <v>4.4213554239289854</v>
      </c>
      <c r="AG132" s="43" t="s">
        <v>539</v>
      </c>
      <c r="AH132" s="43">
        <v>852.12</v>
      </c>
      <c r="AI132" s="43">
        <v>940.36999999999898</v>
      </c>
      <c r="AJ132" s="39" t="s">
        <v>539</v>
      </c>
      <c r="AK132" s="39" t="s">
        <v>539</v>
      </c>
      <c r="AL132" s="44"/>
      <c r="AM132" s="43">
        <v>981.94709999999998</v>
      </c>
      <c r="AN132" s="39">
        <v>15.235776651175881</v>
      </c>
      <c r="AO132" s="39">
        <v>4.4213554239289854</v>
      </c>
      <c r="AP132" s="43" t="s">
        <v>539</v>
      </c>
      <c r="AQ132" s="43">
        <v>852.12</v>
      </c>
      <c r="AR132" s="43">
        <v>940.36999999999898</v>
      </c>
      <c r="AS132" s="39" t="s">
        <v>539</v>
      </c>
      <c r="AT132" s="39" t="s">
        <v>539</v>
      </c>
      <c r="AU132" s="1">
        <v>179834.72526241999</v>
      </c>
    </row>
    <row r="133" spans="2:47" ht="18" customHeight="1" x14ac:dyDescent="0.25">
      <c r="B133" s="2">
        <f>IF(G133=$B$6,MAX(B$7:B132)+1,IF($B$6="Nifty 500 - All Sector",B132+1,0))</f>
        <v>0</v>
      </c>
      <c r="C133" s="36">
        <v>93137</v>
      </c>
      <c r="D133" s="36" t="s">
        <v>152</v>
      </c>
      <c r="E133" s="36" t="s">
        <v>533</v>
      </c>
      <c r="F133" s="36" t="s">
        <v>679</v>
      </c>
      <c r="G133" s="36" t="s">
        <v>604</v>
      </c>
      <c r="H133" s="36" t="s">
        <v>532</v>
      </c>
      <c r="I133" s="37" t="s">
        <v>540</v>
      </c>
      <c r="J133" s="38">
        <v>24234.45</v>
      </c>
      <c r="K133" s="39" t="s">
        <v>540</v>
      </c>
      <c r="L133" s="39">
        <v>18.773034699078607</v>
      </c>
      <c r="M133" s="38" t="s">
        <v>539</v>
      </c>
      <c r="N133" s="38">
        <v>0</v>
      </c>
      <c r="O133" s="38">
        <v>20404</v>
      </c>
      <c r="P133" s="39" t="s">
        <v>540</v>
      </c>
      <c r="Q133" s="39" t="s">
        <v>540</v>
      </c>
      <c r="R133" s="40"/>
      <c r="S133" s="38">
        <v>3284.6222222222218</v>
      </c>
      <c r="T133" s="39">
        <v>13.553524929273086</v>
      </c>
      <c r="U133" s="39" t="s">
        <v>540</v>
      </c>
      <c r="V133" s="38" t="s">
        <v>539</v>
      </c>
      <c r="W133" s="38" t="s">
        <v>540</v>
      </c>
      <c r="X133" s="38">
        <v>2606</v>
      </c>
      <c r="Y133" s="39" t="s">
        <v>540</v>
      </c>
      <c r="Z133" s="39" t="s">
        <v>540</v>
      </c>
      <c r="AA133" s="41" t="s">
        <v>540</v>
      </c>
      <c r="AB133" s="42" t="s">
        <v>540</v>
      </c>
      <c r="AC133" s="40"/>
      <c r="AD133" s="43">
        <v>2160.9</v>
      </c>
      <c r="AE133" s="39" t="s">
        <v>539</v>
      </c>
      <c r="AF133" s="39">
        <v>285.18716577540107</v>
      </c>
      <c r="AG133" s="43" t="s">
        <v>539</v>
      </c>
      <c r="AH133" s="43">
        <v>0</v>
      </c>
      <c r="AI133" s="43">
        <v>561</v>
      </c>
      <c r="AJ133" s="39" t="s">
        <v>539</v>
      </c>
      <c r="AK133" s="39" t="s">
        <v>539</v>
      </c>
      <c r="AL133" s="44"/>
      <c r="AM133" s="43">
        <v>2160.9</v>
      </c>
      <c r="AN133" s="39" t="s">
        <v>539</v>
      </c>
      <c r="AO133" s="39">
        <v>285.18716577540107</v>
      </c>
      <c r="AP133" s="43" t="s">
        <v>539</v>
      </c>
      <c r="AQ133" s="43">
        <v>0</v>
      </c>
      <c r="AR133" s="43">
        <v>561</v>
      </c>
      <c r="AS133" s="39" t="s">
        <v>539</v>
      </c>
      <c r="AT133" s="39" t="s">
        <v>539</v>
      </c>
      <c r="AU133" s="1">
        <v>160236.649696095</v>
      </c>
    </row>
    <row r="134" spans="2:47" ht="18" customHeight="1" x14ac:dyDescent="0.25">
      <c r="B134" s="2">
        <f>IF(G134=$B$6,MAX(B$7:B133)+1,IF($B$6="Nifty 500 - All Sector",B133+1,0))</f>
        <v>0</v>
      </c>
      <c r="C134" s="36">
        <v>16486</v>
      </c>
      <c r="D134" s="36" t="s">
        <v>153</v>
      </c>
      <c r="E134" s="36" t="s">
        <v>527</v>
      </c>
      <c r="F134" s="36" t="s">
        <v>680</v>
      </c>
      <c r="G134" s="36" t="s">
        <v>604</v>
      </c>
      <c r="H134" s="36" t="s">
        <v>532</v>
      </c>
      <c r="I134" s="37" t="s">
        <v>540</v>
      </c>
      <c r="J134" s="38">
        <v>19899.920000000002</v>
      </c>
      <c r="K134" s="39">
        <v>10.923147953624145</v>
      </c>
      <c r="L134" s="39">
        <v>10.718192858180497</v>
      </c>
      <c r="M134" s="38" t="s">
        <v>539</v>
      </c>
      <c r="N134" s="38">
        <v>17940.276999999998</v>
      </c>
      <c r="O134" s="38">
        <v>17973.487000000001</v>
      </c>
      <c r="P134" s="39" t="s">
        <v>540</v>
      </c>
      <c r="Q134" s="39" t="s">
        <v>540</v>
      </c>
      <c r="R134" s="40"/>
      <c r="S134" s="38">
        <v>2387.2357142857145</v>
      </c>
      <c r="T134" s="39">
        <v>11.996207594230098</v>
      </c>
      <c r="U134" s="39">
        <v>-212.09824580751172</v>
      </c>
      <c r="V134" s="38" t="s">
        <v>539</v>
      </c>
      <c r="W134" s="38">
        <v>2532.663</v>
      </c>
      <c r="X134" s="38">
        <v>2018.346</v>
      </c>
      <c r="Y134" s="39" t="s">
        <v>540</v>
      </c>
      <c r="Z134" s="39" t="s">
        <v>540</v>
      </c>
      <c r="AA134" s="41" t="s">
        <v>540</v>
      </c>
      <c r="AB134" s="42" t="s">
        <v>540</v>
      </c>
      <c r="AC134" s="40"/>
      <c r="AD134" s="43">
        <v>1436.6154000000001</v>
      </c>
      <c r="AE134" s="39">
        <v>-11.009393902790288</v>
      </c>
      <c r="AF134" s="39">
        <v>16.381769589897608</v>
      </c>
      <c r="AG134" s="43" t="s">
        <v>539</v>
      </c>
      <c r="AH134" s="43">
        <v>1614.345</v>
      </c>
      <c r="AI134" s="43">
        <v>1234.3989999999999</v>
      </c>
      <c r="AJ134" s="39" t="s">
        <v>539</v>
      </c>
      <c r="AK134" s="39" t="s">
        <v>539</v>
      </c>
      <c r="AL134" s="44"/>
      <c r="AM134" s="43">
        <v>1436.6154000000001</v>
      </c>
      <c r="AN134" s="39">
        <v>-11.009393902790288</v>
      </c>
      <c r="AO134" s="39">
        <v>16.381769589897608</v>
      </c>
      <c r="AP134" s="43" t="s">
        <v>539</v>
      </c>
      <c r="AQ134" s="43">
        <v>1614.345</v>
      </c>
      <c r="AR134" s="43">
        <v>1234.3989999999999</v>
      </c>
      <c r="AS134" s="39" t="s">
        <v>539</v>
      </c>
      <c r="AT134" s="39" t="s">
        <v>539</v>
      </c>
      <c r="AU134" s="1">
        <v>144758.2596705</v>
      </c>
    </row>
    <row r="135" spans="2:47" ht="18" customHeight="1" x14ac:dyDescent="0.25">
      <c r="B135" s="2">
        <f>IF(G135=$B$6,MAX(B$7:B134)+1,IF($B$6="Nifty 500 - All Sector",B134+1,0))</f>
        <v>0</v>
      </c>
      <c r="C135" s="36">
        <v>2966</v>
      </c>
      <c r="D135" s="36" t="s">
        <v>154</v>
      </c>
      <c r="E135" s="36" t="s">
        <v>527</v>
      </c>
      <c r="F135" s="36" t="s">
        <v>681</v>
      </c>
      <c r="G135" s="36" t="s">
        <v>604</v>
      </c>
      <c r="H135" s="36" t="s">
        <v>532</v>
      </c>
      <c r="I135" s="37" t="s">
        <v>540</v>
      </c>
      <c r="J135" s="38">
        <v>32630.841666666667</v>
      </c>
      <c r="K135" s="39">
        <v>11.304126901396462</v>
      </c>
      <c r="L135" s="39">
        <v>3.8888105329860423</v>
      </c>
      <c r="M135" s="38" t="s">
        <v>539</v>
      </c>
      <c r="N135" s="38">
        <v>29316.83</v>
      </c>
      <c r="O135" s="38">
        <v>31409.39</v>
      </c>
      <c r="P135" s="39" t="s">
        <v>540</v>
      </c>
      <c r="Q135" s="39" t="s">
        <v>540</v>
      </c>
      <c r="R135" s="40"/>
      <c r="S135" s="38">
        <v>3237.9692307692303</v>
      </c>
      <c r="T135" s="39">
        <v>9.9230331348667242</v>
      </c>
      <c r="U135" s="39">
        <v>90.821127315793689</v>
      </c>
      <c r="V135" s="38" t="s">
        <v>539</v>
      </c>
      <c r="W135" s="38">
        <v>2642.86</v>
      </c>
      <c r="X135" s="38">
        <v>3043.07</v>
      </c>
      <c r="Y135" s="39" t="s">
        <v>540</v>
      </c>
      <c r="Z135" s="39" t="s">
        <v>540</v>
      </c>
      <c r="AA135" s="41" t="s">
        <v>540</v>
      </c>
      <c r="AB135" s="42" t="s">
        <v>540</v>
      </c>
      <c r="AC135" s="40"/>
      <c r="AD135" s="43">
        <v>1284</v>
      </c>
      <c r="AE135" s="39">
        <v>30.576713819368884</v>
      </c>
      <c r="AF135" s="39">
        <v>37.808163309114477</v>
      </c>
      <c r="AG135" s="43" t="s">
        <v>539</v>
      </c>
      <c r="AH135" s="43">
        <v>983.33</v>
      </c>
      <c r="AI135" s="43">
        <v>931.72999999999104</v>
      </c>
      <c r="AJ135" s="39" t="s">
        <v>539</v>
      </c>
      <c r="AK135" s="39" t="s">
        <v>539</v>
      </c>
      <c r="AL135" s="44"/>
      <c r="AM135" s="43">
        <v>1284</v>
      </c>
      <c r="AN135" s="39">
        <v>22.227510709186092</v>
      </c>
      <c r="AO135" s="39">
        <v>25.427371300185598</v>
      </c>
      <c r="AP135" s="43" t="s">
        <v>539</v>
      </c>
      <c r="AQ135" s="43">
        <v>1050.5</v>
      </c>
      <c r="AR135" s="43">
        <v>1023.7</v>
      </c>
      <c r="AS135" s="39" t="s">
        <v>539</v>
      </c>
      <c r="AT135" s="39" t="s">
        <v>539</v>
      </c>
      <c r="AU135" s="1">
        <v>130347.36612234999</v>
      </c>
    </row>
    <row r="136" spans="2:47" ht="18" customHeight="1" x14ac:dyDescent="0.25">
      <c r="B136" s="2">
        <f>IF(G136=$B$6,MAX(B$7:B135)+1,IF($B$6="Nifty 500 - All Sector",B135+1,0))</f>
        <v>0</v>
      </c>
      <c r="C136" s="36">
        <v>560</v>
      </c>
      <c r="D136" s="36" t="s">
        <v>155</v>
      </c>
      <c r="E136" s="36" t="s">
        <v>527</v>
      </c>
      <c r="F136" s="36" t="s">
        <v>682</v>
      </c>
      <c r="G136" s="36" t="s">
        <v>604</v>
      </c>
      <c r="H136" s="36" t="s">
        <v>532</v>
      </c>
      <c r="I136" s="37" t="s">
        <v>540</v>
      </c>
      <c r="J136" s="38">
        <v>112745.175</v>
      </c>
      <c r="K136" s="39">
        <v>-5.6549417169443394</v>
      </c>
      <c r="L136" s="39">
        <v>60.816418953614424</v>
      </c>
      <c r="M136" s="38" t="s">
        <v>539</v>
      </c>
      <c r="N136" s="38">
        <v>119503</v>
      </c>
      <c r="O136" s="38">
        <v>70108</v>
      </c>
      <c r="P136" s="39" t="s">
        <v>540</v>
      </c>
      <c r="Q136" s="39" t="s">
        <v>540</v>
      </c>
      <c r="R136" s="40"/>
      <c r="S136" s="38">
        <v>10800.6</v>
      </c>
      <c r="T136" s="39">
        <v>9.5796560695391175</v>
      </c>
      <c r="U136" s="39">
        <v>-449.36307935521853</v>
      </c>
      <c r="V136" s="38" t="s">
        <v>539</v>
      </c>
      <c r="W136" s="38">
        <v>16818</v>
      </c>
      <c r="X136" s="38">
        <v>879</v>
      </c>
      <c r="Y136" s="39" t="s">
        <v>540</v>
      </c>
      <c r="Z136" s="39" t="s">
        <v>540</v>
      </c>
      <c r="AA136" s="41" t="s">
        <v>540</v>
      </c>
      <c r="AB136" s="42" t="s">
        <v>540</v>
      </c>
      <c r="AC136" s="40"/>
      <c r="AD136" s="43">
        <v>2403.9</v>
      </c>
      <c r="AE136" s="39">
        <v>-71.524520255863536</v>
      </c>
      <c r="AF136" s="39" t="s">
        <v>547</v>
      </c>
      <c r="AG136" s="43" t="s">
        <v>539</v>
      </c>
      <c r="AH136" s="43">
        <v>8442</v>
      </c>
      <c r="AI136" s="43">
        <v>-3652</v>
      </c>
      <c r="AJ136" s="39" t="s">
        <v>539</v>
      </c>
      <c r="AK136" s="39" t="s">
        <v>547</v>
      </c>
      <c r="AL136" s="44"/>
      <c r="AM136" s="43">
        <v>2403.9</v>
      </c>
      <c r="AN136" s="39">
        <v>-71.618654073199522</v>
      </c>
      <c r="AO136" s="39" t="s">
        <v>547</v>
      </c>
      <c r="AP136" s="43" t="s">
        <v>539</v>
      </c>
      <c r="AQ136" s="43">
        <v>8470</v>
      </c>
      <c r="AR136" s="43">
        <v>-3486</v>
      </c>
      <c r="AS136" s="39" t="s">
        <v>539</v>
      </c>
      <c r="AT136" s="39" t="s">
        <v>547</v>
      </c>
      <c r="AU136" s="1">
        <v>131792.29297976999</v>
      </c>
    </row>
    <row r="137" spans="2:47" ht="18" customHeight="1" x14ac:dyDescent="0.25">
      <c r="B137" s="2">
        <f>IF(G137=$B$6,MAX(B$7:B136)+1,IF($B$6="Nifty 500 - All Sector",B136+1,0))</f>
        <v>0</v>
      </c>
      <c r="C137" s="36">
        <v>237</v>
      </c>
      <c r="D137" s="36" t="s">
        <v>156</v>
      </c>
      <c r="E137" s="36" t="s">
        <v>533</v>
      </c>
      <c r="F137" s="36" t="s">
        <v>683</v>
      </c>
      <c r="G137" s="36" t="s">
        <v>604</v>
      </c>
      <c r="H137" s="36" t="s">
        <v>535</v>
      </c>
      <c r="I137" s="37" t="s">
        <v>540</v>
      </c>
      <c r="J137" s="38">
        <v>12350.317647058824</v>
      </c>
      <c r="K137" s="39">
        <v>24.265545592800073</v>
      </c>
      <c r="L137" s="39">
        <v>0.17794428026087772</v>
      </c>
      <c r="M137" s="38" t="s">
        <v>539</v>
      </c>
      <c r="N137" s="38">
        <v>9938.65</v>
      </c>
      <c r="O137" s="38">
        <v>12328.38</v>
      </c>
      <c r="P137" s="39" t="s">
        <v>540</v>
      </c>
      <c r="Q137" s="39" t="s">
        <v>540</v>
      </c>
      <c r="R137" s="40"/>
      <c r="S137" s="38">
        <v>1769.7599999999998</v>
      </c>
      <c r="T137" s="39">
        <v>14.329671920798415</v>
      </c>
      <c r="U137" s="39">
        <v>8.6791851573719825</v>
      </c>
      <c r="V137" s="38" t="s">
        <v>539</v>
      </c>
      <c r="W137" s="38">
        <v>1415.55</v>
      </c>
      <c r="X137" s="38">
        <v>1810.05</v>
      </c>
      <c r="Y137" s="39" t="s">
        <v>540</v>
      </c>
      <c r="Z137" s="39" t="s">
        <v>540</v>
      </c>
      <c r="AA137" s="41" t="s">
        <v>540</v>
      </c>
      <c r="AB137" s="42" t="s">
        <v>540</v>
      </c>
      <c r="AC137" s="40"/>
      <c r="AD137" s="43">
        <v>1358.4833000000001</v>
      </c>
      <c r="AE137" s="39">
        <v>25.676105981830631</v>
      </c>
      <c r="AF137" s="39">
        <v>0.73659115346114135</v>
      </c>
      <c r="AG137" s="43" t="s">
        <v>539</v>
      </c>
      <c r="AH137" s="43">
        <v>1080.94</v>
      </c>
      <c r="AI137" s="43">
        <v>1348.55</v>
      </c>
      <c r="AJ137" s="39" t="s">
        <v>539</v>
      </c>
      <c r="AK137" s="39" t="s">
        <v>539</v>
      </c>
      <c r="AL137" s="44"/>
      <c r="AM137" s="43">
        <v>1358.4833000000001</v>
      </c>
      <c r="AN137" s="39">
        <v>25.676105981830631</v>
      </c>
      <c r="AO137" s="39">
        <v>0.73659115346114135</v>
      </c>
      <c r="AP137" s="43" t="s">
        <v>539</v>
      </c>
      <c r="AQ137" s="43">
        <v>1080.94</v>
      </c>
      <c r="AR137" s="43">
        <v>1348.55</v>
      </c>
      <c r="AS137" s="39" t="s">
        <v>539</v>
      </c>
      <c r="AT137" s="39" t="s">
        <v>539</v>
      </c>
      <c r="AU137" s="1">
        <v>105745.44624673</v>
      </c>
    </row>
    <row r="138" spans="2:47" ht="18" customHeight="1" x14ac:dyDescent="0.25">
      <c r="B138" s="2">
        <f>IF(G138=$B$6,MAX(B$7:B137)+1,IF($B$6="Nifty 500 - All Sector",B137+1,0))</f>
        <v>0</v>
      </c>
      <c r="C138" s="36">
        <v>31</v>
      </c>
      <c r="D138" s="36" t="s">
        <v>157</v>
      </c>
      <c r="E138" s="36" t="s">
        <v>533</v>
      </c>
      <c r="F138" s="36" t="s">
        <v>684</v>
      </c>
      <c r="G138" s="36" t="s">
        <v>604</v>
      </c>
      <c r="H138" s="36" t="s">
        <v>535</v>
      </c>
      <c r="I138" s="37" t="s">
        <v>540</v>
      </c>
      <c r="J138" s="38">
        <v>14045.227272727274</v>
      </c>
      <c r="K138" s="39">
        <v>17.960606017340442</v>
      </c>
      <c r="L138" s="39">
        <v>21.773972027790144</v>
      </c>
      <c r="M138" s="38" t="s">
        <v>539</v>
      </c>
      <c r="N138" s="38">
        <v>11906.71</v>
      </c>
      <c r="O138" s="38">
        <v>11533.85</v>
      </c>
      <c r="P138" s="39" t="s">
        <v>540</v>
      </c>
      <c r="Q138" s="39" t="s">
        <v>540</v>
      </c>
      <c r="R138" s="40"/>
      <c r="S138" s="38">
        <v>2009.0954545454545</v>
      </c>
      <c r="T138" s="39">
        <v>14.304470946131811</v>
      </c>
      <c r="U138" s="39">
        <v>-73.713164602000887</v>
      </c>
      <c r="V138" s="38" t="s">
        <v>539</v>
      </c>
      <c r="W138" s="38">
        <v>1790.96</v>
      </c>
      <c r="X138" s="38">
        <v>1535.02</v>
      </c>
      <c r="Y138" s="39" t="s">
        <v>540</v>
      </c>
      <c r="Z138" s="39" t="s">
        <v>540</v>
      </c>
      <c r="AA138" s="41" t="s">
        <v>540</v>
      </c>
      <c r="AB138" s="42" t="s">
        <v>540</v>
      </c>
      <c r="AC138" s="40"/>
      <c r="AD138" s="43">
        <v>1381.1052999999999</v>
      </c>
      <c r="AE138" s="39">
        <v>10.854687888784543</v>
      </c>
      <c r="AF138" s="39">
        <v>73.50133162483354</v>
      </c>
      <c r="AG138" s="43" t="s">
        <v>539</v>
      </c>
      <c r="AH138" s="43">
        <v>1245.8699999999999</v>
      </c>
      <c r="AI138" s="43">
        <v>796.02</v>
      </c>
      <c r="AJ138" s="39" t="s">
        <v>539</v>
      </c>
      <c r="AK138" s="39" t="s">
        <v>539</v>
      </c>
      <c r="AL138" s="44"/>
      <c r="AM138" s="43">
        <v>1381.1052999999999</v>
      </c>
      <c r="AN138" s="39">
        <v>10.854687888784543</v>
      </c>
      <c r="AO138" s="39">
        <v>73.50133162483354</v>
      </c>
      <c r="AP138" s="43" t="s">
        <v>539</v>
      </c>
      <c r="AQ138" s="43">
        <v>1245.8699999999999</v>
      </c>
      <c r="AR138" s="43">
        <v>796.02</v>
      </c>
      <c r="AS138" s="39" t="s">
        <v>539</v>
      </c>
      <c r="AT138" s="39" t="s">
        <v>539</v>
      </c>
      <c r="AU138" s="1">
        <v>103056.77811484</v>
      </c>
    </row>
    <row r="139" spans="2:47" ht="18" customHeight="1" x14ac:dyDescent="0.25">
      <c r="B139" s="2">
        <f>IF(G139=$B$6,MAX(B$7:B138)+1,IF($B$6="Nifty 500 - All Sector",B138+1,0))</f>
        <v>0</v>
      </c>
      <c r="C139" s="36">
        <v>69</v>
      </c>
      <c r="D139" s="36" t="s">
        <v>158</v>
      </c>
      <c r="E139" s="36" t="s">
        <v>527</v>
      </c>
      <c r="F139" s="36" t="s">
        <v>685</v>
      </c>
      <c r="G139" s="36" t="s">
        <v>604</v>
      </c>
      <c r="H139" s="36" t="s">
        <v>535</v>
      </c>
      <c r="I139" s="37" t="s">
        <v>540</v>
      </c>
      <c r="J139" s="38">
        <v>4471.4875000000002</v>
      </c>
      <c r="K139" s="39">
        <v>16.064030977489519</v>
      </c>
      <c r="L139" s="39">
        <v>2.9600611015502487</v>
      </c>
      <c r="M139" s="38" t="s">
        <v>539</v>
      </c>
      <c r="N139" s="38">
        <v>3852.6039999999998</v>
      </c>
      <c r="O139" s="38">
        <v>4342.9340000000002</v>
      </c>
      <c r="P139" s="39" t="s">
        <v>540</v>
      </c>
      <c r="Q139" s="39" t="s">
        <v>540</v>
      </c>
      <c r="R139" s="40"/>
      <c r="S139" s="38">
        <v>754.56666666666672</v>
      </c>
      <c r="T139" s="39">
        <v>16.875070469651693</v>
      </c>
      <c r="U139" s="39">
        <v>-80.979929635592285</v>
      </c>
      <c r="V139" s="38" t="s">
        <v>539</v>
      </c>
      <c r="W139" s="38">
        <v>681.32799999999997</v>
      </c>
      <c r="X139" s="38">
        <v>749.904</v>
      </c>
      <c r="Y139" s="39" t="s">
        <v>540</v>
      </c>
      <c r="Z139" s="39" t="s">
        <v>540</v>
      </c>
      <c r="AA139" s="41" t="s">
        <v>540</v>
      </c>
      <c r="AB139" s="42" t="s">
        <v>540</v>
      </c>
      <c r="AC139" s="40"/>
      <c r="AD139" s="43">
        <v>380.22220000000004</v>
      </c>
      <c r="AE139" s="39">
        <v>33.459999438391549</v>
      </c>
      <c r="AF139" s="39">
        <v>37.378400838241156</v>
      </c>
      <c r="AG139" s="43" t="s">
        <v>539</v>
      </c>
      <c r="AH139" s="43">
        <v>284.89600000000002</v>
      </c>
      <c r="AI139" s="43">
        <v>276.77</v>
      </c>
      <c r="AJ139" s="39" t="s">
        <v>539</v>
      </c>
      <c r="AK139" s="39" t="s">
        <v>539</v>
      </c>
      <c r="AL139" s="44"/>
      <c r="AM139" s="43">
        <v>380.22220000000004</v>
      </c>
      <c r="AN139" s="39">
        <v>34.832001758883969</v>
      </c>
      <c r="AO139" s="39">
        <v>43.90690879362942</v>
      </c>
      <c r="AP139" s="43" t="s">
        <v>539</v>
      </c>
      <c r="AQ139" s="43">
        <v>281.99700000000001</v>
      </c>
      <c r="AR139" s="43">
        <v>264.214</v>
      </c>
      <c r="AS139" s="39" t="s">
        <v>539</v>
      </c>
      <c r="AT139" s="39" t="s">
        <v>539</v>
      </c>
      <c r="AU139" s="1">
        <v>87483.048326520002</v>
      </c>
    </row>
    <row r="140" spans="2:47" ht="18" customHeight="1" x14ac:dyDescent="0.25">
      <c r="B140" s="2">
        <f>IF(G140=$B$6,MAX(B$7:B139)+1,IF($B$6="Nifty 500 - All Sector",B139+1,0))</f>
        <v>0</v>
      </c>
      <c r="C140" s="36">
        <v>12295</v>
      </c>
      <c r="D140" s="36" t="s">
        <v>159</v>
      </c>
      <c r="E140" s="36" t="s">
        <v>527</v>
      </c>
      <c r="F140" s="36" t="s">
        <v>686</v>
      </c>
      <c r="G140" s="36" t="s">
        <v>604</v>
      </c>
      <c r="H140" s="36" t="s">
        <v>535</v>
      </c>
      <c r="I140" s="37" t="s">
        <v>540</v>
      </c>
      <c r="J140" s="38">
        <v>5360.9125000000004</v>
      </c>
      <c r="K140" s="39">
        <v>18.386344162956703</v>
      </c>
      <c r="L140" s="39">
        <v>6.832371474235055</v>
      </c>
      <c r="M140" s="38" t="s">
        <v>539</v>
      </c>
      <c r="N140" s="38">
        <v>4528.32</v>
      </c>
      <c r="O140" s="38">
        <v>5018.0600000000004</v>
      </c>
      <c r="P140" s="39" t="s">
        <v>540</v>
      </c>
      <c r="Q140" s="39" t="s">
        <v>540</v>
      </c>
      <c r="R140" s="40"/>
      <c r="S140" s="38">
        <v>622.46249999999998</v>
      </c>
      <c r="T140" s="39">
        <v>11.611129635113423</v>
      </c>
      <c r="U140" s="39">
        <v>-2.0336339022682282</v>
      </c>
      <c r="V140" s="38" t="s">
        <v>539</v>
      </c>
      <c r="W140" s="38">
        <v>526.71</v>
      </c>
      <c r="X140" s="38">
        <v>553.52</v>
      </c>
      <c r="Y140" s="39" t="s">
        <v>540</v>
      </c>
      <c r="Z140" s="39" t="s">
        <v>540</v>
      </c>
      <c r="AA140" s="41" t="s">
        <v>540</v>
      </c>
      <c r="AB140" s="42" t="s">
        <v>540</v>
      </c>
      <c r="AC140" s="40"/>
      <c r="AD140" s="43">
        <v>364.2</v>
      </c>
      <c r="AE140" s="39">
        <v>55.262821332651235</v>
      </c>
      <c r="AF140" s="39">
        <v>60.808901448251504</v>
      </c>
      <c r="AG140" s="43" t="s">
        <v>539</v>
      </c>
      <c r="AH140" s="43">
        <v>234.57</v>
      </c>
      <c r="AI140" s="43">
        <v>226.48</v>
      </c>
      <c r="AJ140" s="39" t="s">
        <v>539</v>
      </c>
      <c r="AK140" s="39" t="s">
        <v>539</v>
      </c>
      <c r="AL140" s="44"/>
      <c r="AM140" s="43">
        <v>364.2</v>
      </c>
      <c r="AN140" s="39">
        <v>36.809285902107369</v>
      </c>
      <c r="AO140" s="39">
        <v>31.656002602754583</v>
      </c>
      <c r="AP140" s="43" t="s">
        <v>539</v>
      </c>
      <c r="AQ140" s="43">
        <v>266.20999999999998</v>
      </c>
      <c r="AR140" s="43">
        <v>276.63</v>
      </c>
      <c r="AS140" s="39" t="s">
        <v>539</v>
      </c>
      <c r="AT140" s="39" t="s">
        <v>539</v>
      </c>
      <c r="AU140" s="1">
        <v>63496.18999644</v>
      </c>
    </row>
    <row r="141" spans="2:47" ht="18" customHeight="1" x14ac:dyDescent="0.25">
      <c r="B141" s="2">
        <f>IF(G141=$B$6,MAX(B$7:B140)+1,IF($B$6="Nifty 500 - All Sector",B140+1,0))</f>
        <v>0</v>
      </c>
      <c r="C141" s="36">
        <v>391</v>
      </c>
      <c r="D141" s="36" t="s">
        <v>160</v>
      </c>
      <c r="E141" s="36" t="s">
        <v>533</v>
      </c>
      <c r="F141" s="36" t="s">
        <v>687</v>
      </c>
      <c r="G141" s="36" t="s">
        <v>604</v>
      </c>
      <c r="H141" s="36" t="s">
        <v>535</v>
      </c>
      <c r="I141" s="37" t="s">
        <v>540</v>
      </c>
      <c r="J141" s="38">
        <v>7715.3</v>
      </c>
      <c r="K141" s="39">
        <v>11.109991013617826</v>
      </c>
      <c r="L141" s="39">
        <v>-2.7526913705980371</v>
      </c>
      <c r="M141" s="38" t="s">
        <v>539</v>
      </c>
      <c r="N141" s="38">
        <v>6943.84</v>
      </c>
      <c r="O141" s="38">
        <v>7933.69</v>
      </c>
      <c r="P141" s="39" t="s">
        <v>540</v>
      </c>
      <c r="Q141" s="39" t="s">
        <v>540</v>
      </c>
      <c r="R141" s="40"/>
      <c r="S141" s="38">
        <v>1272.0666666666666</v>
      </c>
      <c r="T141" s="39">
        <v>16.487585274281837</v>
      </c>
      <c r="U141" s="39">
        <v>147.0246165085772</v>
      </c>
      <c r="V141" s="38" t="s">
        <v>539</v>
      </c>
      <c r="W141" s="38">
        <v>1042.78</v>
      </c>
      <c r="X141" s="38">
        <v>1364.42</v>
      </c>
      <c r="Y141" s="39" t="s">
        <v>540</v>
      </c>
      <c r="Z141" s="39" t="s">
        <v>540</v>
      </c>
      <c r="AA141" s="41" t="s">
        <v>540</v>
      </c>
      <c r="AB141" s="42" t="s">
        <v>540</v>
      </c>
      <c r="AC141" s="40"/>
      <c r="AD141" s="43">
        <v>688.25</v>
      </c>
      <c r="AE141" s="39">
        <v>38.244451139901578</v>
      </c>
      <c r="AF141" s="39">
        <v>1.3414023618106841</v>
      </c>
      <c r="AG141" s="43" t="s">
        <v>539</v>
      </c>
      <c r="AH141" s="43">
        <v>497.85</v>
      </c>
      <c r="AI141" s="43">
        <v>679.13999999999896</v>
      </c>
      <c r="AJ141" s="39" t="s">
        <v>539</v>
      </c>
      <c r="AK141" s="39" t="s">
        <v>539</v>
      </c>
      <c r="AL141" s="44"/>
      <c r="AM141" s="43">
        <v>688.25</v>
      </c>
      <c r="AN141" s="39">
        <v>38.244451139901578</v>
      </c>
      <c r="AO141" s="39">
        <v>1.3414023618106841</v>
      </c>
      <c r="AP141" s="43" t="s">
        <v>539</v>
      </c>
      <c r="AQ141" s="43">
        <v>497.85</v>
      </c>
      <c r="AR141" s="43">
        <v>679.13999999999896</v>
      </c>
      <c r="AS141" s="39" t="s">
        <v>539</v>
      </c>
      <c r="AT141" s="39" t="s">
        <v>539</v>
      </c>
      <c r="AU141" s="1">
        <v>58429.654556695001</v>
      </c>
    </row>
    <row r="142" spans="2:47" ht="18" customHeight="1" x14ac:dyDescent="0.25">
      <c r="B142" s="2">
        <f>IF(G142=$B$6,MAX(B$7:B141)+1,IF($B$6="Nifty 500 - All Sector",B141+1,0))</f>
        <v>0</v>
      </c>
      <c r="C142" s="36">
        <v>55</v>
      </c>
      <c r="D142" s="36" t="s">
        <v>161</v>
      </c>
      <c r="E142" s="36" t="s">
        <v>533</v>
      </c>
      <c r="F142" s="36" t="s">
        <v>688</v>
      </c>
      <c r="G142" s="36" t="s">
        <v>604</v>
      </c>
      <c r="H142" s="36" t="s">
        <v>535</v>
      </c>
      <c r="I142" s="37" t="s">
        <v>540</v>
      </c>
      <c r="J142" s="38">
        <v>2925.3</v>
      </c>
      <c r="K142" s="39">
        <v>6.5066136554782439</v>
      </c>
      <c r="L142" s="39">
        <v>7.1660151885378998</v>
      </c>
      <c r="M142" s="38" t="s">
        <v>539</v>
      </c>
      <c r="N142" s="38">
        <v>2746.59</v>
      </c>
      <c r="O142" s="38">
        <v>2729.69</v>
      </c>
      <c r="P142" s="39" t="s">
        <v>540</v>
      </c>
      <c r="Q142" s="39" t="s">
        <v>540</v>
      </c>
      <c r="R142" s="40"/>
      <c r="S142" s="38">
        <v>671.8142857142858</v>
      </c>
      <c r="T142" s="39">
        <v>22.965654316285022</v>
      </c>
      <c r="U142" s="39">
        <v>105.99457831584935</v>
      </c>
      <c r="V142" s="38" t="s">
        <v>539</v>
      </c>
      <c r="W142" s="38">
        <v>601.66</v>
      </c>
      <c r="X142" s="38">
        <v>632.16999999999996</v>
      </c>
      <c r="Y142" s="39" t="s">
        <v>540</v>
      </c>
      <c r="Z142" s="39" t="s">
        <v>540</v>
      </c>
      <c r="AA142" s="41" t="s">
        <v>540</v>
      </c>
      <c r="AB142" s="42" t="s">
        <v>540</v>
      </c>
      <c r="AC142" s="40"/>
      <c r="AD142" s="43">
        <v>415.9375</v>
      </c>
      <c r="AE142" s="39">
        <v>14.871302714794666</v>
      </c>
      <c r="AF142" s="39">
        <v>10.922582537735348</v>
      </c>
      <c r="AG142" s="43" t="s">
        <v>539</v>
      </c>
      <c r="AH142" s="43">
        <v>362.09</v>
      </c>
      <c r="AI142" s="43">
        <v>374.98</v>
      </c>
      <c r="AJ142" s="39" t="s">
        <v>539</v>
      </c>
      <c r="AK142" s="39" t="s">
        <v>539</v>
      </c>
      <c r="AL142" s="44"/>
      <c r="AM142" s="43">
        <v>415.9375</v>
      </c>
      <c r="AN142" s="39">
        <v>14.871302714794666</v>
      </c>
      <c r="AO142" s="39">
        <v>10.922582537735348</v>
      </c>
      <c r="AP142" s="43" t="s">
        <v>539</v>
      </c>
      <c r="AQ142" s="43">
        <v>362.09</v>
      </c>
      <c r="AR142" s="43">
        <v>374.98</v>
      </c>
      <c r="AS142" s="39" t="s">
        <v>539</v>
      </c>
      <c r="AT142" s="39" t="s">
        <v>539</v>
      </c>
      <c r="AU142" s="1">
        <v>44981.043769199998</v>
      </c>
    </row>
    <row r="143" spans="2:47" ht="18" customHeight="1" x14ac:dyDescent="0.25">
      <c r="B143" s="2">
        <f>IF(G143=$B$6,MAX(B$7:B142)+1,IF($B$6="Nifty 500 - All Sector",B142+1,0))</f>
        <v>0</v>
      </c>
      <c r="C143" s="36">
        <v>18341</v>
      </c>
      <c r="D143" s="36" t="s">
        <v>162</v>
      </c>
      <c r="E143" s="36" t="s">
        <v>527</v>
      </c>
      <c r="F143" s="36" t="s">
        <v>689</v>
      </c>
      <c r="G143" s="36" t="s">
        <v>604</v>
      </c>
      <c r="H143" s="36" t="s">
        <v>529</v>
      </c>
      <c r="I143" s="37" t="s">
        <v>540</v>
      </c>
      <c r="J143" s="38">
        <v>1244.8333333333335</v>
      </c>
      <c r="K143" s="39">
        <v>43.952972920882736</v>
      </c>
      <c r="L143" s="39">
        <v>3.7566895211994966</v>
      </c>
      <c r="M143" s="38" t="s">
        <v>539</v>
      </c>
      <c r="N143" s="38">
        <v>864.75</v>
      </c>
      <c r="O143" s="38">
        <v>1199.7619999999999</v>
      </c>
      <c r="P143" s="39" t="s">
        <v>540</v>
      </c>
      <c r="Q143" s="39" t="s">
        <v>540</v>
      </c>
      <c r="R143" s="40"/>
      <c r="S143" s="38">
        <v>306.8</v>
      </c>
      <c r="T143" s="39">
        <v>24.645869594323202</v>
      </c>
      <c r="U143" s="39">
        <v>-209.89699546794009</v>
      </c>
      <c r="V143" s="38" t="s">
        <v>539</v>
      </c>
      <c r="W143" s="38">
        <v>231.27600000000001</v>
      </c>
      <c r="X143" s="38">
        <v>295.92700000000002</v>
      </c>
      <c r="Y143" s="39" t="s">
        <v>540</v>
      </c>
      <c r="Z143" s="39" t="s">
        <v>540</v>
      </c>
      <c r="AA143" s="41" t="s">
        <v>540</v>
      </c>
      <c r="AB143" s="42" t="s">
        <v>540</v>
      </c>
      <c r="AC143" s="40"/>
      <c r="AD143" s="43">
        <v>184.38569999999999</v>
      </c>
      <c r="AE143" s="39">
        <v>12.646668906741599</v>
      </c>
      <c r="AF143" s="39">
        <v>22.794456505813887</v>
      </c>
      <c r="AG143" s="43" t="s">
        <v>539</v>
      </c>
      <c r="AH143" s="43">
        <v>163.685</v>
      </c>
      <c r="AI143" s="43">
        <v>150.15799999999999</v>
      </c>
      <c r="AJ143" s="39" t="s">
        <v>539</v>
      </c>
      <c r="AK143" s="39" t="s">
        <v>539</v>
      </c>
      <c r="AL143" s="44"/>
      <c r="AM143" s="43">
        <v>184.38569999999999</v>
      </c>
      <c r="AN143" s="39">
        <v>12.348098951986341</v>
      </c>
      <c r="AO143" s="39">
        <v>22.291958215884588</v>
      </c>
      <c r="AP143" s="43" t="s">
        <v>539</v>
      </c>
      <c r="AQ143" s="43">
        <v>164.12</v>
      </c>
      <c r="AR143" s="43">
        <v>150.77500000000001</v>
      </c>
      <c r="AS143" s="39" t="s">
        <v>539</v>
      </c>
      <c r="AT143" s="39" t="s">
        <v>539</v>
      </c>
      <c r="AU143" s="1">
        <v>36418.463112849997</v>
      </c>
    </row>
    <row r="144" spans="2:47" ht="18" customHeight="1" x14ac:dyDescent="0.25">
      <c r="B144" s="2">
        <f>IF(G144=$B$6,MAX(B$7:B143)+1,IF($B$6="Nifty 500 - All Sector",B143+1,0))</f>
        <v>0</v>
      </c>
      <c r="C144" s="36">
        <v>75556</v>
      </c>
      <c r="D144" s="36" t="s">
        <v>163</v>
      </c>
      <c r="E144" s="36" t="s">
        <v>533</v>
      </c>
      <c r="F144" s="36" t="s">
        <v>690</v>
      </c>
      <c r="G144" s="36" t="s">
        <v>604</v>
      </c>
      <c r="H144" s="36" t="s">
        <v>529</v>
      </c>
      <c r="I144" s="37" t="s">
        <v>540</v>
      </c>
      <c r="J144" s="38">
        <v>1068.42</v>
      </c>
      <c r="K144" s="39">
        <v>58.026919094808463</v>
      </c>
      <c r="L144" s="39">
        <v>12.040687919463089</v>
      </c>
      <c r="M144" s="38" t="s">
        <v>539</v>
      </c>
      <c r="N144" s="38">
        <v>676.1</v>
      </c>
      <c r="O144" s="38">
        <v>953.6</v>
      </c>
      <c r="P144" s="39" t="s">
        <v>540</v>
      </c>
      <c r="Q144" s="39" t="s">
        <v>540</v>
      </c>
      <c r="R144" s="40"/>
      <c r="S144" s="38">
        <v>-77.95</v>
      </c>
      <c r="T144" s="39">
        <v>-7.2958199958817698</v>
      </c>
      <c r="U144" s="39">
        <v>1820.3366514989405</v>
      </c>
      <c r="V144" s="38" t="s">
        <v>539</v>
      </c>
      <c r="W144" s="38">
        <v>-172.4</v>
      </c>
      <c r="X144" s="38">
        <v>-72</v>
      </c>
      <c r="Y144" s="39" t="s">
        <v>540</v>
      </c>
      <c r="Z144" s="39" t="s">
        <v>540</v>
      </c>
      <c r="AA144" s="41" t="s">
        <v>540</v>
      </c>
      <c r="AB144" s="42" t="s">
        <v>540</v>
      </c>
      <c r="AC144" s="40"/>
      <c r="AD144" s="43">
        <v>-97.3</v>
      </c>
      <c r="AE144" s="39" t="s">
        <v>548</v>
      </c>
      <c r="AF144" s="39" t="s">
        <v>548</v>
      </c>
      <c r="AG144" s="43" t="s">
        <v>539</v>
      </c>
      <c r="AH144" s="43">
        <v>-234.4</v>
      </c>
      <c r="AI144" s="43">
        <v>-84.6</v>
      </c>
      <c r="AJ144" s="39" t="s">
        <v>547</v>
      </c>
      <c r="AK144" s="39" t="s">
        <v>547</v>
      </c>
      <c r="AL144" s="44"/>
      <c r="AM144" s="43">
        <v>-97.3</v>
      </c>
      <c r="AN144" s="39" t="s">
        <v>548</v>
      </c>
      <c r="AO144" s="39" t="s">
        <v>548</v>
      </c>
      <c r="AP144" s="43" t="s">
        <v>539</v>
      </c>
      <c r="AQ144" s="43">
        <v>-234.4</v>
      </c>
      <c r="AR144" s="43">
        <v>-84.6</v>
      </c>
      <c r="AS144" s="39" t="s">
        <v>547</v>
      </c>
      <c r="AT144" s="39" t="s">
        <v>547</v>
      </c>
      <c r="AU144" s="1">
        <v>33384.406827359999</v>
      </c>
    </row>
    <row r="145" spans="2:47" ht="18" customHeight="1" x14ac:dyDescent="0.25">
      <c r="B145" s="2">
        <f>IF(G145=$B$6,MAX(B$7:B144)+1,IF($B$6="Nifty 500 - All Sector",B144+1,0))</f>
        <v>0</v>
      </c>
      <c r="C145" s="36">
        <v>53</v>
      </c>
      <c r="D145" s="36" t="s">
        <v>164</v>
      </c>
      <c r="E145" s="36" t="s">
        <v>527</v>
      </c>
      <c r="F145" s="36" t="s">
        <v>691</v>
      </c>
      <c r="G145" s="36" t="s">
        <v>604</v>
      </c>
      <c r="H145" s="36" t="s">
        <v>529</v>
      </c>
      <c r="I145" s="37" t="s">
        <v>540</v>
      </c>
      <c r="J145" s="38" t="s">
        <v>539</v>
      </c>
      <c r="K145" s="39" t="s">
        <v>540</v>
      </c>
      <c r="L145" s="39" t="s">
        <v>540</v>
      </c>
      <c r="M145" s="38" t="s">
        <v>539</v>
      </c>
      <c r="N145" s="38">
        <v>2356.0100000000002</v>
      </c>
      <c r="O145" s="38">
        <v>2128.56</v>
      </c>
      <c r="P145" s="39" t="s">
        <v>540</v>
      </c>
      <c r="Q145" s="39" t="s">
        <v>540</v>
      </c>
      <c r="R145" s="40"/>
      <c r="S145" s="38" t="s">
        <v>539</v>
      </c>
      <c r="T145" s="39" t="s">
        <v>540</v>
      </c>
      <c r="U145" s="39" t="s">
        <v>540</v>
      </c>
      <c r="V145" s="38" t="s">
        <v>539</v>
      </c>
      <c r="W145" s="38">
        <v>329.24</v>
      </c>
      <c r="X145" s="38">
        <v>374.01</v>
      </c>
      <c r="Y145" s="39" t="s">
        <v>540</v>
      </c>
      <c r="Z145" s="39" t="s">
        <v>540</v>
      </c>
      <c r="AA145" s="41" t="s">
        <v>540</v>
      </c>
      <c r="AB145" s="42" t="s">
        <v>540</v>
      </c>
      <c r="AC145" s="40"/>
      <c r="AD145" s="43" t="s">
        <v>540</v>
      </c>
      <c r="AE145" s="39" t="s">
        <v>539</v>
      </c>
      <c r="AF145" s="39" t="s">
        <v>539</v>
      </c>
      <c r="AG145" s="43" t="s">
        <v>539</v>
      </c>
      <c r="AH145" s="43">
        <v>429.73</v>
      </c>
      <c r="AI145" s="43">
        <v>402.96</v>
      </c>
      <c r="AJ145" s="39" t="s">
        <v>539</v>
      </c>
      <c r="AK145" s="39" t="s">
        <v>539</v>
      </c>
      <c r="AL145" s="44"/>
      <c r="AM145" s="43" t="s">
        <v>539</v>
      </c>
      <c r="AN145" s="39" t="s">
        <v>539</v>
      </c>
      <c r="AO145" s="39" t="s">
        <v>539</v>
      </c>
      <c r="AP145" s="43" t="s">
        <v>539</v>
      </c>
      <c r="AQ145" s="43">
        <v>434.71</v>
      </c>
      <c r="AR145" s="43">
        <v>406.11</v>
      </c>
      <c r="AS145" s="39" t="s">
        <v>539</v>
      </c>
      <c r="AT145" s="39" t="s">
        <v>539</v>
      </c>
      <c r="AU145" s="1">
        <v>29482.874444649999</v>
      </c>
    </row>
    <row r="146" spans="2:47" ht="18" customHeight="1" x14ac:dyDescent="0.25">
      <c r="B146" s="2">
        <f>IF(G146=$B$6,MAX(B$7:B145)+1,IF($B$6="Nifty 500 - All Sector",B145+1,0))</f>
        <v>0</v>
      </c>
      <c r="C146" s="36">
        <v>23</v>
      </c>
      <c r="D146" s="36" t="s">
        <v>165</v>
      </c>
      <c r="E146" s="36" t="s">
        <v>527</v>
      </c>
      <c r="F146" s="36" t="s">
        <v>692</v>
      </c>
      <c r="G146" s="36" t="s">
        <v>604</v>
      </c>
      <c r="H146" s="36" t="s">
        <v>535</v>
      </c>
      <c r="I146" s="37" t="s">
        <v>540</v>
      </c>
      <c r="J146" s="38">
        <v>7390.85</v>
      </c>
      <c r="K146" s="39">
        <v>15.057988628471918</v>
      </c>
      <c r="L146" s="39">
        <v>-4.548928029515908</v>
      </c>
      <c r="M146" s="38" t="s">
        <v>539</v>
      </c>
      <c r="N146" s="38">
        <v>6423.5870000000004</v>
      </c>
      <c r="O146" s="38">
        <v>7743.0770000000002</v>
      </c>
      <c r="P146" s="39" t="s">
        <v>540</v>
      </c>
      <c r="Q146" s="39" t="s">
        <v>540</v>
      </c>
      <c r="R146" s="40"/>
      <c r="S146" s="38">
        <v>1016.6</v>
      </c>
      <c r="T146" s="39">
        <v>13.754845518445105</v>
      </c>
      <c r="U146" s="39">
        <v>71.885799309517395</v>
      </c>
      <c r="V146" s="38" t="s">
        <v>539</v>
      </c>
      <c r="W146" s="38">
        <v>837.37800000000004</v>
      </c>
      <c r="X146" s="38">
        <v>1185.9390000000001</v>
      </c>
      <c r="Y146" s="39" t="s">
        <v>540</v>
      </c>
      <c r="Z146" s="39" t="s">
        <v>540</v>
      </c>
      <c r="AA146" s="41" t="s">
        <v>540</v>
      </c>
      <c r="AB146" s="42" t="s">
        <v>540</v>
      </c>
      <c r="AC146" s="40"/>
      <c r="AD146" s="43">
        <v>420.41670000000005</v>
      </c>
      <c r="AE146" s="39">
        <v>128.08570777543892</v>
      </c>
      <c r="AF146" s="39">
        <v>-10.611259472193812</v>
      </c>
      <c r="AG146" s="43" t="s">
        <v>539</v>
      </c>
      <c r="AH146" s="43">
        <v>184.32400000000001</v>
      </c>
      <c r="AI146" s="43">
        <v>470.32400000000098</v>
      </c>
      <c r="AJ146" s="39" t="s">
        <v>539</v>
      </c>
      <c r="AK146" s="39" t="s">
        <v>539</v>
      </c>
      <c r="AL146" s="44"/>
      <c r="AM146" s="43">
        <v>420.41670000000005</v>
      </c>
      <c r="AN146" s="39">
        <v>127.72248643144226</v>
      </c>
      <c r="AO146" s="39">
        <v>-10.648115481235553</v>
      </c>
      <c r="AP146" s="43" t="s">
        <v>539</v>
      </c>
      <c r="AQ146" s="43">
        <v>184.61799999999999</v>
      </c>
      <c r="AR146" s="43">
        <v>470.51799999999997</v>
      </c>
      <c r="AS146" s="39" t="s">
        <v>539</v>
      </c>
      <c r="AT146" s="39" t="s">
        <v>539</v>
      </c>
      <c r="AU146" s="1">
        <v>27988.898690220001</v>
      </c>
    </row>
    <row r="147" spans="2:47" ht="18" customHeight="1" x14ac:dyDescent="0.25">
      <c r="B147" s="2">
        <f>IF(G147=$B$6,MAX(B$7:B146)+1,IF($B$6="Nifty 500 - All Sector",B146+1,0))</f>
        <v>0</v>
      </c>
      <c r="C147" s="36">
        <v>28069</v>
      </c>
      <c r="D147" s="36" t="s">
        <v>166</v>
      </c>
      <c r="E147" s="36" t="s">
        <v>533</v>
      </c>
      <c r="F147" s="36" t="s">
        <v>693</v>
      </c>
      <c r="G147" s="36" t="s">
        <v>604</v>
      </c>
      <c r="H147" s="36" t="s">
        <v>529</v>
      </c>
      <c r="I147" s="37" t="s">
        <v>540</v>
      </c>
      <c r="J147" s="38">
        <v>1133.8</v>
      </c>
      <c r="K147" s="39">
        <v>13.019805878664691</v>
      </c>
      <c r="L147" s="39">
        <v>7.1995189353039724</v>
      </c>
      <c r="M147" s="38" t="s">
        <v>539</v>
      </c>
      <c r="N147" s="38">
        <v>1003.187</v>
      </c>
      <c r="O147" s="38">
        <v>1057.654</v>
      </c>
      <c r="P147" s="39" t="s">
        <v>540</v>
      </c>
      <c r="Q147" s="39" t="s">
        <v>540</v>
      </c>
      <c r="R147" s="40"/>
      <c r="S147" s="38">
        <v>199.9</v>
      </c>
      <c r="T147" s="39">
        <v>17.630975480684423</v>
      </c>
      <c r="U147" s="39">
        <v>43.677340270693676</v>
      </c>
      <c r="V147" s="38" t="s">
        <v>539</v>
      </c>
      <c r="W147" s="38">
        <v>172.49</v>
      </c>
      <c r="X147" s="38">
        <v>194.61500000000001</v>
      </c>
      <c r="Y147" s="39" t="s">
        <v>540</v>
      </c>
      <c r="Z147" s="39" t="s">
        <v>540</v>
      </c>
      <c r="AA147" s="41" t="s">
        <v>540</v>
      </c>
      <c r="AB147" s="42" t="s">
        <v>540</v>
      </c>
      <c r="AC147" s="40"/>
      <c r="AD147" s="43">
        <v>136.69999999999999</v>
      </c>
      <c r="AE147" s="39">
        <v>9.1922806569109774</v>
      </c>
      <c r="AF147" s="39">
        <v>-1.429168889978516</v>
      </c>
      <c r="AG147" s="43" t="s">
        <v>539</v>
      </c>
      <c r="AH147" s="43">
        <v>125.19199999999999</v>
      </c>
      <c r="AI147" s="43">
        <v>138.68199999999999</v>
      </c>
      <c r="AJ147" s="39" t="s">
        <v>539</v>
      </c>
      <c r="AK147" s="39" t="s">
        <v>539</v>
      </c>
      <c r="AL147" s="44"/>
      <c r="AM147" s="43">
        <v>136.69999999999999</v>
      </c>
      <c r="AN147" s="39">
        <v>9.1922806569109774</v>
      </c>
      <c r="AO147" s="39">
        <v>-1.429168889978516</v>
      </c>
      <c r="AP147" s="43" t="s">
        <v>539</v>
      </c>
      <c r="AQ147" s="43">
        <v>125.19199999999999</v>
      </c>
      <c r="AR147" s="43">
        <v>138.68199999999999</v>
      </c>
      <c r="AS147" s="39" t="s">
        <v>539</v>
      </c>
      <c r="AT147" s="39" t="s">
        <v>539</v>
      </c>
      <c r="AU147" s="1">
        <v>26598.148205279998</v>
      </c>
    </row>
    <row r="148" spans="2:47" ht="18" customHeight="1" x14ac:dyDescent="0.25">
      <c r="B148" s="2">
        <f>IF(G148=$B$6,MAX(B$7:B147)+1,IF($B$6="Nifty 500 - All Sector",B147+1,0))</f>
        <v>0</v>
      </c>
      <c r="C148" s="36">
        <v>76359</v>
      </c>
      <c r="D148" s="36" t="s">
        <v>167</v>
      </c>
      <c r="E148" s="36" t="s">
        <v>533</v>
      </c>
      <c r="F148" s="36" t="s">
        <v>694</v>
      </c>
      <c r="G148" s="36" t="s">
        <v>604</v>
      </c>
      <c r="H148" s="36" t="s">
        <v>529</v>
      </c>
      <c r="I148" s="37" t="s">
        <v>540</v>
      </c>
      <c r="J148" s="38">
        <v>3013.65</v>
      </c>
      <c r="K148" s="39">
        <v>20.08870222193886</v>
      </c>
      <c r="L148" s="39">
        <v>4.3843758551056933</v>
      </c>
      <c r="M148" s="38" t="s">
        <v>539</v>
      </c>
      <c r="N148" s="38">
        <v>2509.52</v>
      </c>
      <c r="O148" s="38">
        <v>2887.07</v>
      </c>
      <c r="P148" s="39" t="s">
        <v>540</v>
      </c>
      <c r="Q148" s="39" t="s">
        <v>540</v>
      </c>
      <c r="R148" s="40"/>
      <c r="S148" s="38">
        <v>295.18333333333334</v>
      </c>
      <c r="T148" s="39">
        <v>9.7948777506788556</v>
      </c>
      <c r="U148" s="39">
        <v>-101.27667391040535</v>
      </c>
      <c r="V148" s="38" t="s">
        <v>539</v>
      </c>
      <c r="W148" s="38">
        <v>271.22000000000003</v>
      </c>
      <c r="X148" s="38">
        <v>262.32</v>
      </c>
      <c r="Y148" s="39" t="s">
        <v>540</v>
      </c>
      <c r="Z148" s="39" t="s">
        <v>540</v>
      </c>
      <c r="AA148" s="41" t="s">
        <v>540</v>
      </c>
      <c r="AB148" s="42" t="s">
        <v>540</v>
      </c>
      <c r="AC148" s="40"/>
      <c r="AD148" s="43">
        <v>177.35</v>
      </c>
      <c r="AE148" s="39">
        <v>7.5304674710483077</v>
      </c>
      <c r="AF148" s="39">
        <v>18.676391862955022</v>
      </c>
      <c r="AG148" s="43" t="s">
        <v>539</v>
      </c>
      <c r="AH148" s="43">
        <v>164.93</v>
      </c>
      <c r="AI148" s="43">
        <v>149.44</v>
      </c>
      <c r="AJ148" s="39" t="s">
        <v>539</v>
      </c>
      <c r="AK148" s="39" t="s">
        <v>539</v>
      </c>
      <c r="AL148" s="44"/>
      <c r="AM148" s="43">
        <v>177.35</v>
      </c>
      <c r="AN148" s="39">
        <v>7.5304674710483077</v>
      </c>
      <c r="AO148" s="39">
        <v>18.676391862955022</v>
      </c>
      <c r="AP148" s="43" t="s">
        <v>539</v>
      </c>
      <c r="AQ148" s="43">
        <v>164.93</v>
      </c>
      <c r="AR148" s="43">
        <v>149.44</v>
      </c>
      <c r="AS148" s="39" t="s">
        <v>539</v>
      </c>
      <c r="AT148" s="39" t="s">
        <v>539</v>
      </c>
      <c r="AU148" s="1">
        <v>25883.376387894001</v>
      </c>
    </row>
    <row r="149" spans="2:47" ht="18" customHeight="1" x14ac:dyDescent="0.25">
      <c r="B149" s="2">
        <f>IF(G149=$B$6,MAX(B$7:B148)+1,IF($B$6="Nifty 500 - All Sector",B148+1,0))</f>
        <v>0</v>
      </c>
      <c r="C149" s="36">
        <v>5380</v>
      </c>
      <c r="D149" s="36" t="s">
        <v>168</v>
      </c>
      <c r="E149" s="36" t="s">
        <v>527</v>
      </c>
      <c r="F149" s="36" t="s">
        <v>695</v>
      </c>
      <c r="G149" s="36" t="s">
        <v>604</v>
      </c>
      <c r="H149" s="36" t="s">
        <v>529</v>
      </c>
      <c r="I149" s="37" t="s">
        <v>540</v>
      </c>
      <c r="J149" s="38">
        <v>272.60000000000002</v>
      </c>
      <c r="K149" s="39">
        <v>123.58923884514437</v>
      </c>
      <c r="L149" s="39">
        <v>75.267144161405255</v>
      </c>
      <c r="M149" s="38" t="s">
        <v>539</v>
      </c>
      <c r="N149" s="38">
        <v>121.92</v>
      </c>
      <c r="O149" s="38">
        <v>155.53399999999999</v>
      </c>
      <c r="P149" s="39" t="s">
        <v>540</v>
      </c>
      <c r="Q149" s="39" t="s">
        <v>540</v>
      </c>
      <c r="R149" s="40"/>
      <c r="S149" s="38">
        <v>90.3</v>
      </c>
      <c r="T149" s="39">
        <v>33.125458547322076</v>
      </c>
      <c r="U149" s="39">
        <v>956.73876811803427</v>
      </c>
      <c r="V149" s="38" t="s">
        <v>539</v>
      </c>
      <c r="W149" s="38">
        <v>28.722000000000001</v>
      </c>
      <c r="X149" s="38">
        <v>24.702000000000002</v>
      </c>
      <c r="Y149" s="39" t="s">
        <v>540</v>
      </c>
      <c r="Z149" s="39" t="s">
        <v>540</v>
      </c>
      <c r="AA149" s="41" t="s">
        <v>540</v>
      </c>
      <c r="AB149" s="42" t="s">
        <v>540</v>
      </c>
      <c r="AC149" s="40"/>
      <c r="AD149" s="43" t="s">
        <v>540</v>
      </c>
      <c r="AE149" s="39" t="s">
        <v>539</v>
      </c>
      <c r="AF149" s="39" t="s">
        <v>539</v>
      </c>
      <c r="AG149" s="43" t="s">
        <v>539</v>
      </c>
      <c r="AH149" s="43">
        <v>24.573</v>
      </c>
      <c r="AI149" s="43">
        <v>18.355</v>
      </c>
      <c r="AJ149" s="39" t="s">
        <v>539</v>
      </c>
      <c r="AK149" s="39" t="s">
        <v>539</v>
      </c>
      <c r="AL149" s="44"/>
      <c r="AM149" s="43" t="s">
        <v>539</v>
      </c>
      <c r="AN149" s="39" t="s">
        <v>539</v>
      </c>
      <c r="AO149" s="39" t="s">
        <v>539</v>
      </c>
      <c r="AP149" s="43" t="s">
        <v>539</v>
      </c>
      <c r="AQ149" s="43">
        <v>24.574000000000002</v>
      </c>
      <c r="AR149" s="43">
        <v>18.353999999999999</v>
      </c>
      <c r="AS149" s="39" t="s">
        <v>539</v>
      </c>
      <c r="AT149" s="39" t="s">
        <v>539</v>
      </c>
      <c r="AU149" s="1">
        <v>23637.177790655001</v>
      </c>
    </row>
    <row r="150" spans="2:47" ht="18" customHeight="1" x14ac:dyDescent="0.25">
      <c r="B150" s="2">
        <f>IF(G150=$B$6,MAX(B$7:B149)+1,IF($B$6="Nifty 500 - All Sector",B149+1,0))</f>
        <v>0</v>
      </c>
      <c r="C150" s="36">
        <v>83464</v>
      </c>
      <c r="D150" s="36" t="s">
        <v>169</v>
      </c>
      <c r="E150" s="36" t="s">
        <v>527</v>
      </c>
      <c r="F150" s="36" t="s">
        <v>696</v>
      </c>
      <c r="G150" s="36" t="s">
        <v>604</v>
      </c>
      <c r="H150" s="36" t="s">
        <v>529</v>
      </c>
      <c r="I150" s="37" t="s">
        <v>540</v>
      </c>
      <c r="J150" s="38">
        <v>1458.55</v>
      </c>
      <c r="K150" s="39" t="s">
        <v>540</v>
      </c>
      <c r="L150" s="39">
        <v>13.482521878773547</v>
      </c>
      <c r="M150" s="38" t="s">
        <v>539</v>
      </c>
      <c r="N150" s="38">
        <v>0</v>
      </c>
      <c r="O150" s="38">
        <v>1285.2639999999999</v>
      </c>
      <c r="P150" s="39" t="s">
        <v>540</v>
      </c>
      <c r="Q150" s="39" t="s">
        <v>540</v>
      </c>
      <c r="R150" s="40"/>
      <c r="S150" s="38">
        <v>244.82</v>
      </c>
      <c r="T150" s="39">
        <v>16.785163347159852</v>
      </c>
      <c r="U150" s="39" t="s">
        <v>540</v>
      </c>
      <c r="V150" s="38" t="s">
        <v>539</v>
      </c>
      <c r="W150" s="38" t="s">
        <v>540</v>
      </c>
      <c r="X150" s="38">
        <v>222.511</v>
      </c>
      <c r="Y150" s="39" t="s">
        <v>540</v>
      </c>
      <c r="Z150" s="39" t="s">
        <v>540</v>
      </c>
      <c r="AA150" s="41" t="s">
        <v>540</v>
      </c>
      <c r="AB150" s="42" t="s">
        <v>540</v>
      </c>
      <c r="AC150" s="40"/>
      <c r="AD150" s="43">
        <v>161.85</v>
      </c>
      <c r="AE150" s="39" t="s">
        <v>539</v>
      </c>
      <c r="AF150" s="39">
        <v>36.228200121203955</v>
      </c>
      <c r="AG150" s="43" t="s">
        <v>539</v>
      </c>
      <c r="AH150" s="43">
        <v>0</v>
      </c>
      <c r="AI150" s="43">
        <v>118.80800000000001</v>
      </c>
      <c r="AJ150" s="39" t="s">
        <v>539</v>
      </c>
      <c r="AK150" s="39" t="s">
        <v>539</v>
      </c>
      <c r="AL150" s="44"/>
      <c r="AM150" s="43">
        <v>161.85</v>
      </c>
      <c r="AN150" s="39" t="s">
        <v>539</v>
      </c>
      <c r="AO150" s="39">
        <v>36.36593421407386</v>
      </c>
      <c r="AP150" s="43" t="s">
        <v>539</v>
      </c>
      <c r="AQ150" s="43">
        <v>0</v>
      </c>
      <c r="AR150" s="43">
        <v>118.688</v>
      </c>
      <c r="AS150" s="39" t="s">
        <v>539</v>
      </c>
      <c r="AT150" s="39" t="s">
        <v>539</v>
      </c>
      <c r="AU150" s="1">
        <v>23080.112410164998</v>
      </c>
    </row>
    <row r="151" spans="2:47" ht="18" customHeight="1" x14ac:dyDescent="0.25">
      <c r="B151" s="2">
        <f>IF(G151=$B$6,MAX(B$7:B150)+1,IF($B$6="Nifty 500 - All Sector",B150+1,0))</f>
        <v>0</v>
      </c>
      <c r="C151" s="36">
        <v>1024</v>
      </c>
      <c r="D151" s="36" t="s">
        <v>170</v>
      </c>
      <c r="E151" s="36" t="s">
        <v>527</v>
      </c>
      <c r="F151" s="36" t="s">
        <v>697</v>
      </c>
      <c r="G151" s="36" t="s">
        <v>604</v>
      </c>
      <c r="H151" s="36" t="s">
        <v>529</v>
      </c>
      <c r="I151" s="37" t="s">
        <v>540</v>
      </c>
      <c r="J151" s="38" t="s">
        <v>539</v>
      </c>
      <c r="K151" s="39" t="s">
        <v>540</v>
      </c>
      <c r="L151" s="39" t="s">
        <v>540</v>
      </c>
      <c r="M151" s="38" t="s">
        <v>539</v>
      </c>
      <c r="N151" s="38">
        <v>1179.8499999999999</v>
      </c>
      <c r="O151" s="38">
        <v>1255.9099999999999</v>
      </c>
      <c r="P151" s="39" t="s">
        <v>540</v>
      </c>
      <c r="Q151" s="39" t="s">
        <v>540</v>
      </c>
      <c r="R151" s="40"/>
      <c r="S151" s="38" t="s">
        <v>539</v>
      </c>
      <c r="T151" s="39" t="s">
        <v>540</v>
      </c>
      <c r="U151" s="39" t="s">
        <v>540</v>
      </c>
      <c r="V151" s="38" t="s">
        <v>539</v>
      </c>
      <c r="W151" s="38">
        <v>196.79</v>
      </c>
      <c r="X151" s="38">
        <v>250.6</v>
      </c>
      <c r="Y151" s="39" t="s">
        <v>540</v>
      </c>
      <c r="Z151" s="39" t="s">
        <v>540</v>
      </c>
      <c r="AA151" s="41" t="s">
        <v>540</v>
      </c>
      <c r="AB151" s="42" t="s">
        <v>540</v>
      </c>
      <c r="AC151" s="40"/>
      <c r="AD151" s="43" t="s">
        <v>540</v>
      </c>
      <c r="AE151" s="39" t="s">
        <v>539</v>
      </c>
      <c r="AF151" s="39" t="s">
        <v>539</v>
      </c>
      <c r="AG151" s="43" t="s">
        <v>539</v>
      </c>
      <c r="AH151" s="43">
        <v>91.439999999999898</v>
      </c>
      <c r="AI151" s="43">
        <v>99.569999999999894</v>
      </c>
      <c r="AJ151" s="39" t="s">
        <v>539</v>
      </c>
      <c r="AK151" s="39" t="s">
        <v>539</v>
      </c>
      <c r="AL151" s="44"/>
      <c r="AM151" s="43" t="s">
        <v>539</v>
      </c>
      <c r="AN151" s="39" t="s">
        <v>539</v>
      </c>
      <c r="AO151" s="39" t="s">
        <v>539</v>
      </c>
      <c r="AP151" s="43" t="s">
        <v>539</v>
      </c>
      <c r="AQ151" s="43">
        <v>92.41</v>
      </c>
      <c r="AR151" s="43">
        <v>99.5</v>
      </c>
      <c r="AS151" s="39" t="s">
        <v>539</v>
      </c>
      <c r="AT151" s="39" t="s">
        <v>539</v>
      </c>
      <c r="AU151" s="1">
        <v>21684.10695152</v>
      </c>
    </row>
    <row r="152" spans="2:47" ht="18" customHeight="1" x14ac:dyDescent="0.25">
      <c r="B152" s="2">
        <f>IF(G152=$B$6,MAX(B$7:B151)+1,IF($B$6="Nifty 500 - All Sector",B151+1,0))</f>
        <v>0</v>
      </c>
      <c r="C152" s="36">
        <v>2401</v>
      </c>
      <c r="D152" s="36" t="s">
        <v>171</v>
      </c>
      <c r="E152" s="36" t="s">
        <v>527</v>
      </c>
      <c r="F152" s="36" t="s">
        <v>698</v>
      </c>
      <c r="G152" s="36" t="s">
        <v>604</v>
      </c>
      <c r="H152" s="36" t="s">
        <v>529</v>
      </c>
      <c r="I152" s="37" t="s">
        <v>540</v>
      </c>
      <c r="J152" s="38" t="s">
        <v>539</v>
      </c>
      <c r="K152" s="39" t="s">
        <v>540</v>
      </c>
      <c r="L152" s="39" t="s">
        <v>540</v>
      </c>
      <c r="M152" s="38" t="s">
        <v>539</v>
      </c>
      <c r="N152" s="38">
        <v>475.57600000000002</v>
      </c>
      <c r="O152" s="38">
        <v>874.04</v>
      </c>
      <c r="P152" s="39" t="s">
        <v>540</v>
      </c>
      <c r="Q152" s="39" t="s">
        <v>540</v>
      </c>
      <c r="R152" s="40"/>
      <c r="S152" s="38" t="s">
        <v>539</v>
      </c>
      <c r="T152" s="39" t="s">
        <v>540</v>
      </c>
      <c r="U152" s="39" t="s">
        <v>540</v>
      </c>
      <c r="V152" s="38" t="s">
        <v>539</v>
      </c>
      <c r="W152" s="38">
        <v>79.486999999999995</v>
      </c>
      <c r="X152" s="38">
        <v>302.39999999999998</v>
      </c>
      <c r="Y152" s="39" t="s">
        <v>540</v>
      </c>
      <c r="Z152" s="39" t="s">
        <v>540</v>
      </c>
      <c r="AA152" s="41" t="s">
        <v>540</v>
      </c>
      <c r="AB152" s="42" t="s">
        <v>540</v>
      </c>
      <c r="AC152" s="40"/>
      <c r="AD152" s="43" t="s">
        <v>540</v>
      </c>
      <c r="AE152" s="39" t="s">
        <v>539</v>
      </c>
      <c r="AF152" s="39" t="s">
        <v>539</v>
      </c>
      <c r="AG152" s="43" t="s">
        <v>539</v>
      </c>
      <c r="AH152" s="43">
        <v>52.323</v>
      </c>
      <c r="AI152" s="43">
        <v>217.56</v>
      </c>
      <c r="AJ152" s="39" t="s">
        <v>539</v>
      </c>
      <c r="AK152" s="39" t="s">
        <v>539</v>
      </c>
      <c r="AL152" s="44"/>
      <c r="AM152" s="43" t="s">
        <v>539</v>
      </c>
      <c r="AN152" s="39" t="s">
        <v>539</v>
      </c>
      <c r="AO152" s="39" t="s">
        <v>539</v>
      </c>
      <c r="AP152" s="43" t="s">
        <v>539</v>
      </c>
      <c r="AQ152" s="43">
        <v>44.956000000000003</v>
      </c>
      <c r="AR152" s="43">
        <v>220.61</v>
      </c>
      <c r="AS152" s="39" t="s">
        <v>539</v>
      </c>
      <c r="AT152" s="39" t="s">
        <v>539</v>
      </c>
      <c r="AU152" s="1">
        <v>21772.277033570001</v>
      </c>
    </row>
    <row r="153" spans="2:47" ht="18" customHeight="1" x14ac:dyDescent="0.25">
      <c r="B153" s="2">
        <f>IF(G153=$B$6,MAX(B$7:B152)+1,IF($B$6="Nifty 500 - All Sector",B152+1,0))</f>
        <v>0</v>
      </c>
      <c r="C153" s="36">
        <v>38976</v>
      </c>
      <c r="D153" s="36" t="s">
        <v>172</v>
      </c>
      <c r="E153" s="36" t="s">
        <v>527</v>
      </c>
      <c r="F153" s="36" t="s">
        <v>699</v>
      </c>
      <c r="G153" s="36" t="s">
        <v>604</v>
      </c>
      <c r="H153" s="36" t="s">
        <v>529</v>
      </c>
      <c r="I153" s="37" t="s">
        <v>540</v>
      </c>
      <c r="J153" s="38" t="s">
        <v>539</v>
      </c>
      <c r="K153" s="39" t="s">
        <v>540</v>
      </c>
      <c r="L153" s="39" t="s">
        <v>540</v>
      </c>
      <c r="M153" s="38" t="s">
        <v>539</v>
      </c>
      <c r="N153" s="38">
        <v>2274.348</v>
      </c>
      <c r="O153" s="38">
        <v>2340.5239999999999</v>
      </c>
      <c r="P153" s="39" t="s">
        <v>540</v>
      </c>
      <c r="Q153" s="39" t="s">
        <v>540</v>
      </c>
      <c r="R153" s="40"/>
      <c r="S153" s="38" t="s">
        <v>539</v>
      </c>
      <c r="T153" s="39" t="s">
        <v>540</v>
      </c>
      <c r="U153" s="39" t="s">
        <v>540</v>
      </c>
      <c r="V153" s="38" t="s">
        <v>539</v>
      </c>
      <c r="W153" s="38">
        <v>275.98</v>
      </c>
      <c r="X153" s="38">
        <v>286.93099999999998</v>
      </c>
      <c r="Y153" s="39" t="s">
        <v>540</v>
      </c>
      <c r="Z153" s="39" t="s">
        <v>540</v>
      </c>
      <c r="AA153" s="41" t="s">
        <v>540</v>
      </c>
      <c r="AB153" s="42" t="s">
        <v>540</v>
      </c>
      <c r="AC153" s="40"/>
      <c r="AD153" s="43" t="s">
        <v>540</v>
      </c>
      <c r="AE153" s="39" t="s">
        <v>539</v>
      </c>
      <c r="AF153" s="39" t="s">
        <v>539</v>
      </c>
      <c r="AG153" s="43" t="s">
        <v>539</v>
      </c>
      <c r="AH153" s="43">
        <v>110.017</v>
      </c>
      <c r="AI153" s="43">
        <v>121.973</v>
      </c>
      <c r="AJ153" s="39" t="s">
        <v>539</v>
      </c>
      <c r="AK153" s="39" t="s">
        <v>539</v>
      </c>
      <c r="AL153" s="44"/>
      <c r="AM153" s="43" t="s">
        <v>539</v>
      </c>
      <c r="AN153" s="39" t="s">
        <v>539</v>
      </c>
      <c r="AO153" s="39" t="s">
        <v>539</v>
      </c>
      <c r="AP153" s="43" t="s">
        <v>539</v>
      </c>
      <c r="AQ153" s="43">
        <v>110.017</v>
      </c>
      <c r="AR153" s="43">
        <v>121.973</v>
      </c>
      <c r="AS153" s="39" t="s">
        <v>539</v>
      </c>
      <c r="AT153" s="39" t="s">
        <v>539</v>
      </c>
      <c r="AU153" s="1">
        <v>18464.993234000001</v>
      </c>
    </row>
    <row r="154" spans="2:47" ht="18" customHeight="1" x14ac:dyDescent="0.25">
      <c r="B154" s="2">
        <f>IF(G154=$B$6,MAX(B$7:B153)+1,IF($B$6="Nifty 500 - All Sector",B153+1,0))</f>
        <v>0</v>
      </c>
      <c r="C154" s="36">
        <v>27871</v>
      </c>
      <c r="D154" s="36" t="s">
        <v>173</v>
      </c>
      <c r="E154" s="36" t="s">
        <v>527</v>
      </c>
      <c r="F154" s="36" t="s">
        <v>700</v>
      </c>
      <c r="G154" s="36" t="s">
        <v>604</v>
      </c>
      <c r="H154" s="36" t="s">
        <v>529</v>
      </c>
      <c r="I154" s="37" t="s">
        <v>540</v>
      </c>
      <c r="J154" s="38">
        <v>2123.34</v>
      </c>
      <c r="K154" s="39">
        <v>21.385736744319004</v>
      </c>
      <c r="L154" s="39">
        <v>3.2110359309379444</v>
      </c>
      <c r="M154" s="38" t="s">
        <v>539</v>
      </c>
      <c r="N154" s="38">
        <v>1749.25</v>
      </c>
      <c r="O154" s="38">
        <v>2057.2800000000002</v>
      </c>
      <c r="P154" s="39" t="s">
        <v>540</v>
      </c>
      <c r="Q154" s="39" t="s">
        <v>540</v>
      </c>
      <c r="R154" s="40"/>
      <c r="S154" s="38">
        <v>331.36</v>
      </c>
      <c r="T154" s="39">
        <v>15.605602494183691</v>
      </c>
      <c r="U154" s="39">
        <v>167.84908749182907</v>
      </c>
      <c r="V154" s="38" t="s">
        <v>539</v>
      </c>
      <c r="W154" s="38">
        <v>243.62</v>
      </c>
      <c r="X154" s="38">
        <v>312.22000000000003</v>
      </c>
      <c r="Y154" s="39" t="s">
        <v>540</v>
      </c>
      <c r="Z154" s="39" t="s">
        <v>540</v>
      </c>
      <c r="AA154" s="41" t="s">
        <v>540</v>
      </c>
      <c r="AB154" s="42" t="s">
        <v>540</v>
      </c>
      <c r="AC154" s="40"/>
      <c r="AD154" s="43">
        <v>114.94000000000001</v>
      </c>
      <c r="AE154" s="39">
        <v>72.712246431254712</v>
      </c>
      <c r="AF154" s="39">
        <v>7.5713617220402707</v>
      </c>
      <c r="AG154" s="43" t="s">
        <v>539</v>
      </c>
      <c r="AH154" s="43">
        <v>66.55</v>
      </c>
      <c r="AI154" s="43">
        <v>106.85</v>
      </c>
      <c r="AJ154" s="39" t="s">
        <v>539</v>
      </c>
      <c r="AK154" s="39" t="s">
        <v>539</v>
      </c>
      <c r="AL154" s="44"/>
      <c r="AM154" s="43">
        <v>114.94000000000001</v>
      </c>
      <c r="AN154" s="39">
        <v>72.168963451168366</v>
      </c>
      <c r="AO154" s="39">
        <v>7.3102418074876496</v>
      </c>
      <c r="AP154" s="43" t="s">
        <v>539</v>
      </c>
      <c r="AQ154" s="43">
        <v>66.760000000000005</v>
      </c>
      <c r="AR154" s="43">
        <v>107.11</v>
      </c>
      <c r="AS154" s="39" t="s">
        <v>539</v>
      </c>
      <c r="AT154" s="39" t="s">
        <v>539</v>
      </c>
      <c r="AU154" s="1">
        <v>17720.881275719999</v>
      </c>
    </row>
    <row r="155" spans="2:47" ht="18" customHeight="1" x14ac:dyDescent="0.25">
      <c r="B155" s="2">
        <f>IF(G155=$B$6,MAX(B$7:B154)+1,IF($B$6="Nifty 500 - All Sector",B154+1,0))</f>
        <v>0</v>
      </c>
      <c r="C155" s="36">
        <v>23341</v>
      </c>
      <c r="D155" s="36" t="s">
        <v>174</v>
      </c>
      <c r="E155" s="36" t="s">
        <v>527</v>
      </c>
      <c r="F155" s="36" t="s">
        <v>701</v>
      </c>
      <c r="G155" s="36" t="s">
        <v>604</v>
      </c>
      <c r="H155" s="36" t="s">
        <v>529</v>
      </c>
      <c r="I155" s="37" t="s">
        <v>540</v>
      </c>
      <c r="J155" s="38" t="s">
        <v>539</v>
      </c>
      <c r="K155" s="39" t="s">
        <v>540</v>
      </c>
      <c r="L155" s="39" t="s">
        <v>540</v>
      </c>
      <c r="M155" s="38" t="s">
        <v>539</v>
      </c>
      <c r="N155" s="38">
        <v>1645.7</v>
      </c>
      <c r="O155" s="38">
        <v>1613.98</v>
      </c>
      <c r="P155" s="39" t="s">
        <v>540</v>
      </c>
      <c r="Q155" s="39" t="s">
        <v>540</v>
      </c>
      <c r="R155" s="40"/>
      <c r="S155" s="38" t="s">
        <v>539</v>
      </c>
      <c r="T155" s="39" t="s">
        <v>540</v>
      </c>
      <c r="U155" s="39" t="s">
        <v>540</v>
      </c>
      <c r="V155" s="38" t="s">
        <v>539</v>
      </c>
      <c r="W155" s="38">
        <v>196.98</v>
      </c>
      <c r="X155" s="38">
        <v>173.15</v>
      </c>
      <c r="Y155" s="39" t="s">
        <v>540</v>
      </c>
      <c r="Z155" s="39" t="s">
        <v>540</v>
      </c>
      <c r="AA155" s="41" t="s">
        <v>540</v>
      </c>
      <c r="AB155" s="42" t="s">
        <v>540</v>
      </c>
      <c r="AC155" s="40"/>
      <c r="AD155" s="43" t="s">
        <v>540</v>
      </c>
      <c r="AE155" s="39" t="s">
        <v>539</v>
      </c>
      <c r="AF155" s="39" t="s">
        <v>539</v>
      </c>
      <c r="AG155" s="43" t="s">
        <v>539</v>
      </c>
      <c r="AH155" s="43">
        <v>84.000000000000199</v>
      </c>
      <c r="AI155" s="43">
        <v>59.579999999999899</v>
      </c>
      <c r="AJ155" s="39" t="s">
        <v>539</v>
      </c>
      <c r="AK155" s="39" t="s">
        <v>539</v>
      </c>
      <c r="AL155" s="44"/>
      <c r="AM155" s="43" t="s">
        <v>539</v>
      </c>
      <c r="AN155" s="39" t="s">
        <v>539</v>
      </c>
      <c r="AO155" s="39" t="s">
        <v>539</v>
      </c>
      <c r="AP155" s="43" t="s">
        <v>539</v>
      </c>
      <c r="AQ155" s="43">
        <v>66.34</v>
      </c>
      <c r="AR155" s="43">
        <v>55.11</v>
      </c>
      <c r="AS155" s="39" t="s">
        <v>539</v>
      </c>
      <c r="AT155" s="39" t="s">
        <v>539</v>
      </c>
      <c r="AU155" s="1">
        <v>14847.10989392</v>
      </c>
    </row>
    <row r="156" spans="2:47" ht="18" customHeight="1" x14ac:dyDescent="0.25">
      <c r="B156" s="2">
        <f>IF(G156=$B$6,MAX(B$7:B155)+1,IF($B$6="Nifty 500 - All Sector",B155+1,0))</f>
        <v>0</v>
      </c>
      <c r="C156" s="36">
        <v>75559</v>
      </c>
      <c r="D156" s="36" t="s">
        <v>175</v>
      </c>
      <c r="E156" s="36" t="s">
        <v>527</v>
      </c>
      <c r="F156" s="36" t="s">
        <v>702</v>
      </c>
      <c r="G156" s="36" t="s">
        <v>604</v>
      </c>
      <c r="H156" s="36" t="s">
        <v>529</v>
      </c>
      <c r="I156" s="37" t="s">
        <v>540</v>
      </c>
      <c r="J156" s="38">
        <v>377.7</v>
      </c>
      <c r="K156" s="39">
        <v>-38.183306055646483</v>
      </c>
      <c r="L156" s="39">
        <v>-19.638297872340427</v>
      </c>
      <c r="M156" s="38" t="s">
        <v>539</v>
      </c>
      <c r="N156" s="38">
        <v>611</v>
      </c>
      <c r="O156" s="38">
        <v>470</v>
      </c>
      <c r="P156" s="39" t="s">
        <v>540</v>
      </c>
      <c r="Q156" s="39" t="s">
        <v>540</v>
      </c>
      <c r="R156" s="40"/>
      <c r="S156" s="38">
        <v>-202.7</v>
      </c>
      <c r="T156" s="39">
        <v>-53.666931427058508</v>
      </c>
      <c r="U156" s="39">
        <v>6008.1022746427589</v>
      </c>
      <c r="V156" s="38" t="s">
        <v>539</v>
      </c>
      <c r="W156" s="38">
        <v>-695</v>
      </c>
      <c r="X156" s="38">
        <v>-271</v>
      </c>
      <c r="Y156" s="39" t="s">
        <v>540</v>
      </c>
      <c r="Z156" s="39" t="s">
        <v>540</v>
      </c>
      <c r="AA156" s="41" t="s">
        <v>540</v>
      </c>
      <c r="AB156" s="42" t="s">
        <v>540</v>
      </c>
      <c r="AC156" s="40"/>
      <c r="AD156" s="43">
        <v>-202.6</v>
      </c>
      <c r="AE156" s="39" t="s">
        <v>548</v>
      </c>
      <c r="AF156" s="39" t="s">
        <v>548</v>
      </c>
      <c r="AG156" s="43" t="s">
        <v>539</v>
      </c>
      <c r="AH156" s="43">
        <v>-870</v>
      </c>
      <c r="AI156" s="43">
        <v>-487</v>
      </c>
      <c r="AJ156" s="39" t="s">
        <v>547</v>
      </c>
      <c r="AK156" s="39" t="s">
        <v>547</v>
      </c>
      <c r="AL156" s="44"/>
      <c r="AM156" s="43">
        <v>-202.6</v>
      </c>
      <c r="AN156" s="39" t="s">
        <v>548</v>
      </c>
      <c r="AO156" s="39" t="s">
        <v>548</v>
      </c>
      <c r="AP156" s="43" t="s">
        <v>539</v>
      </c>
      <c r="AQ156" s="43">
        <v>-870</v>
      </c>
      <c r="AR156" s="43">
        <v>-487</v>
      </c>
      <c r="AS156" s="39" t="s">
        <v>547</v>
      </c>
      <c r="AT156" s="39" t="s">
        <v>547</v>
      </c>
      <c r="AU156" s="1">
        <v>17008.160036559999</v>
      </c>
    </row>
    <row r="157" spans="2:47" ht="18" customHeight="1" x14ac:dyDescent="0.25">
      <c r="B157" s="2">
        <f>IF(G157=$B$6,MAX(B$7:B156)+1,IF($B$6="Nifty 500 - All Sector",B156+1,0))</f>
        <v>0</v>
      </c>
      <c r="C157" s="36">
        <v>184</v>
      </c>
      <c r="D157" s="36" t="s">
        <v>176</v>
      </c>
      <c r="E157" s="36" t="s">
        <v>527</v>
      </c>
      <c r="F157" s="36" t="s">
        <v>703</v>
      </c>
      <c r="G157" s="36" t="s">
        <v>604</v>
      </c>
      <c r="H157" s="36" t="s">
        <v>529</v>
      </c>
      <c r="I157" s="37" t="s">
        <v>540</v>
      </c>
      <c r="J157" s="38" t="s">
        <v>539</v>
      </c>
      <c r="K157" s="39" t="s">
        <v>540</v>
      </c>
      <c r="L157" s="39" t="s">
        <v>540</v>
      </c>
      <c r="M157" s="38" t="s">
        <v>539</v>
      </c>
      <c r="N157" s="38">
        <v>1073.153</v>
      </c>
      <c r="O157" s="38">
        <v>1178.6559999999999</v>
      </c>
      <c r="P157" s="39" t="s">
        <v>540</v>
      </c>
      <c r="Q157" s="39" t="s">
        <v>540</v>
      </c>
      <c r="R157" s="40"/>
      <c r="S157" s="38" t="s">
        <v>539</v>
      </c>
      <c r="T157" s="39" t="s">
        <v>540</v>
      </c>
      <c r="U157" s="39" t="s">
        <v>540</v>
      </c>
      <c r="V157" s="38" t="s">
        <v>539</v>
      </c>
      <c r="W157" s="38">
        <v>108.756</v>
      </c>
      <c r="X157" s="38">
        <v>106.876</v>
      </c>
      <c r="Y157" s="39" t="s">
        <v>540</v>
      </c>
      <c r="Z157" s="39" t="s">
        <v>540</v>
      </c>
      <c r="AA157" s="41" t="s">
        <v>540</v>
      </c>
      <c r="AB157" s="42" t="s">
        <v>540</v>
      </c>
      <c r="AC157" s="40"/>
      <c r="AD157" s="43" t="s">
        <v>540</v>
      </c>
      <c r="AE157" s="39" t="s">
        <v>539</v>
      </c>
      <c r="AF157" s="39" t="s">
        <v>539</v>
      </c>
      <c r="AG157" s="43" t="s">
        <v>539</v>
      </c>
      <c r="AH157" s="43">
        <v>64.361000000000104</v>
      </c>
      <c r="AI157" s="43">
        <v>54.665000000000099</v>
      </c>
      <c r="AJ157" s="39" t="s">
        <v>539</v>
      </c>
      <c r="AK157" s="39" t="s">
        <v>539</v>
      </c>
      <c r="AL157" s="44"/>
      <c r="AM157" s="43" t="s">
        <v>539</v>
      </c>
      <c r="AN157" s="39" t="s">
        <v>539</v>
      </c>
      <c r="AO157" s="39" t="s">
        <v>539</v>
      </c>
      <c r="AP157" s="43" t="s">
        <v>539</v>
      </c>
      <c r="AQ157" s="43">
        <v>64.361000000000004</v>
      </c>
      <c r="AR157" s="43">
        <v>54.665999999999997</v>
      </c>
      <c r="AS157" s="39" t="s">
        <v>539</v>
      </c>
      <c r="AT157" s="39" t="s">
        <v>539</v>
      </c>
      <c r="AU157" s="1">
        <v>13899.705854100001</v>
      </c>
    </row>
    <row r="158" spans="2:47" ht="18" customHeight="1" x14ac:dyDescent="0.25">
      <c r="B158" s="2">
        <f>IF(G158=$B$6,MAX(B$7:B157)+1,IF($B$6="Nifty 500 - All Sector",B157+1,0))</f>
        <v>0</v>
      </c>
      <c r="C158" s="36">
        <v>14978</v>
      </c>
      <c r="D158" s="36" t="s">
        <v>177</v>
      </c>
      <c r="E158" s="36" t="s">
        <v>527</v>
      </c>
      <c r="F158" s="36" t="s">
        <v>704</v>
      </c>
      <c r="G158" s="36" t="s">
        <v>604</v>
      </c>
      <c r="H158" s="36" t="s">
        <v>529</v>
      </c>
      <c r="I158" s="37" t="s">
        <v>540</v>
      </c>
      <c r="J158" s="38">
        <v>1545.4</v>
      </c>
      <c r="K158" s="39">
        <v>16.964110016196663</v>
      </c>
      <c r="L158" s="39">
        <v>-0.95430977574680886</v>
      </c>
      <c r="M158" s="38" t="s">
        <v>539</v>
      </c>
      <c r="N158" s="38">
        <v>1321.26</v>
      </c>
      <c r="O158" s="38">
        <v>1560.29</v>
      </c>
      <c r="P158" s="39" t="s">
        <v>540</v>
      </c>
      <c r="Q158" s="39" t="s">
        <v>540</v>
      </c>
      <c r="R158" s="40"/>
      <c r="S158" s="38">
        <v>188</v>
      </c>
      <c r="T158" s="39">
        <v>12.165135240067295</v>
      </c>
      <c r="U158" s="39">
        <v>59.436188735851658</v>
      </c>
      <c r="V158" s="38" t="s">
        <v>539</v>
      </c>
      <c r="W158" s="38">
        <v>152.88</v>
      </c>
      <c r="X158" s="38">
        <v>183.52</v>
      </c>
      <c r="Y158" s="39" t="s">
        <v>540</v>
      </c>
      <c r="Z158" s="39" t="s">
        <v>540</v>
      </c>
      <c r="AA158" s="41" t="s">
        <v>540</v>
      </c>
      <c r="AB158" s="42" t="s">
        <v>540</v>
      </c>
      <c r="AC158" s="40"/>
      <c r="AD158" s="43">
        <v>92.8</v>
      </c>
      <c r="AE158" s="39">
        <v>122.38197939132517</v>
      </c>
      <c r="AF158" s="39">
        <v>42.923148005544419</v>
      </c>
      <c r="AG158" s="43" t="s">
        <v>539</v>
      </c>
      <c r="AH158" s="43">
        <v>41.73</v>
      </c>
      <c r="AI158" s="43">
        <v>64.930000000000007</v>
      </c>
      <c r="AJ158" s="39" t="s">
        <v>539</v>
      </c>
      <c r="AK158" s="39" t="s">
        <v>539</v>
      </c>
      <c r="AL158" s="44"/>
      <c r="AM158" s="43">
        <v>92.8</v>
      </c>
      <c r="AN158" s="39">
        <v>78.358639246588496</v>
      </c>
      <c r="AO158" s="39">
        <v>8.2847141190198315</v>
      </c>
      <c r="AP158" s="43" t="s">
        <v>539</v>
      </c>
      <c r="AQ158" s="43">
        <v>52.03</v>
      </c>
      <c r="AR158" s="43">
        <v>85.7</v>
      </c>
      <c r="AS158" s="39" t="s">
        <v>539</v>
      </c>
      <c r="AT158" s="39" t="s">
        <v>539</v>
      </c>
      <c r="AU158" s="1">
        <v>12328.13070482</v>
      </c>
    </row>
    <row r="159" spans="2:47" ht="18" customHeight="1" x14ac:dyDescent="0.25">
      <c r="B159" s="2">
        <f>IF(G159=$B$6,MAX(B$7:B158)+1,IF($B$6="Nifty 500 - All Sector",B158+1,0))</f>
        <v>0</v>
      </c>
      <c r="C159" s="36">
        <v>304</v>
      </c>
      <c r="D159" s="36" t="s">
        <v>178</v>
      </c>
      <c r="E159" s="36" t="s">
        <v>527</v>
      </c>
      <c r="F159" s="36" t="s">
        <v>705</v>
      </c>
      <c r="G159" s="36" t="s">
        <v>604</v>
      </c>
      <c r="H159" s="36" t="s">
        <v>529</v>
      </c>
      <c r="I159" s="37" t="s">
        <v>540</v>
      </c>
      <c r="J159" s="38">
        <v>4384</v>
      </c>
      <c r="K159" s="39">
        <v>16.639174160591708</v>
      </c>
      <c r="L159" s="39">
        <v>3.8134389148843484</v>
      </c>
      <c r="M159" s="38" t="s">
        <v>539</v>
      </c>
      <c r="N159" s="38">
        <v>3758.6</v>
      </c>
      <c r="O159" s="38">
        <v>4222.96</v>
      </c>
      <c r="P159" s="39" t="s">
        <v>540</v>
      </c>
      <c r="Q159" s="39" t="s">
        <v>540</v>
      </c>
      <c r="R159" s="40"/>
      <c r="S159" s="38">
        <v>536.1</v>
      </c>
      <c r="T159" s="39">
        <v>12.228558394160585</v>
      </c>
      <c r="U159" s="39">
        <v>256.83125579449973</v>
      </c>
      <c r="V159" s="38" t="s">
        <v>539</v>
      </c>
      <c r="W159" s="38">
        <v>363.08999999999901</v>
      </c>
      <c r="X159" s="38">
        <v>570.79</v>
      </c>
      <c r="Y159" s="39" t="s">
        <v>540</v>
      </c>
      <c r="Z159" s="39" t="s">
        <v>540</v>
      </c>
      <c r="AA159" s="41" t="s">
        <v>540</v>
      </c>
      <c r="AB159" s="42" t="s">
        <v>540</v>
      </c>
      <c r="AC159" s="40"/>
      <c r="AD159" s="43">
        <v>236.85</v>
      </c>
      <c r="AE159" s="39">
        <v>131.23108464317093</v>
      </c>
      <c r="AF159" s="39">
        <v>13.298254006218603</v>
      </c>
      <c r="AG159" s="43" t="s">
        <v>539</v>
      </c>
      <c r="AH159" s="43">
        <v>102.43</v>
      </c>
      <c r="AI159" s="43">
        <v>209.05</v>
      </c>
      <c r="AJ159" s="39" t="s">
        <v>539</v>
      </c>
      <c r="AK159" s="39" t="s">
        <v>539</v>
      </c>
      <c r="AL159" s="44"/>
      <c r="AM159" s="43">
        <v>236.85</v>
      </c>
      <c r="AN159" s="39">
        <v>144.07460840890352</v>
      </c>
      <c r="AO159" s="39">
        <v>14.007220216606498</v>
      </c>
      <c r="AP159" s="43" t="s">
        <v>539</v>
      </c>
      <c r="AQ159" s="43">
        <v>97.04</v>
      </c>
      <c r="AR159" s="43">
        <v>207.75</v>
      </c>
      <c r="AS159" s="39" t="s">
        <v>539</v>
      </c>
      <c r="AT159" s="39" t="s">
        <v>539</v>
      </c>
      <c r="AU159" s="1">
        <v>12235.00684684</v>
      </c>
    </row>
    <row r="160" spans="2:47" ht="18" customHeight="1" x14ac:dyDescent="0.25">
      <c r="B160" s="2">
        <f>IF(G160=$B$6,MAX(B$7:B159)+1,IF($B$6="Nifty 500 - All Sector",B159+1,0))</f>
        <v>0</v>
      </c>
      <c r="C160" s="36">
        <v>24934</v>
      </c>
      <c r="D160" s="36" t="s">
        <v>179</v>
      </c>
      <c r="E160" s="36" t="s">
        <v>533</v>
      </c>
      <c r="F160" s="36" t="s">
        <v>706</v>
      </c>
      <c r="G160" s="36" t="s">
        <v>604</v>
      </c>
      <c r="H160" s="36" t="s">
        <v>529</v>
      </c>
      <c r="I160" s="37" t="s">
        <v>540</v>
      </c>
      <c r="J160" s="38" t="s">
        <v>539</v>
      </c>
      <c r="K160" s="39" t="s">
        <v>540</v>
      </c>
      <c r="L160" s="39" t="s">
        <v>540</v>
      </c>
      <c r="M160" s="38" t="s">
        <v>539</v>
      </c>
      <c r="N160" s="38">
        <v>809.62300000000005</v>
      </c>
      <c r="O160" s="38">
        <v>939.59500000000003</v>
      </c>
      <c r="P160" s="39" t="s">
        <v>540</v>
      </c>
      <c r="Q160" s="39" t="s">
        <v>540</v>
      </c>
      <c r="R160" s="40"/>
      <c r="S160" s="38" t="s">
        <v>539</v>
      </c>
      <c r="T160" s="39" t="s">
        <v>540</v>
      </c>
      <c r="U160" s="39" t="s">
        <v>540</v>
      </c>
      <c r="V160" s="38" t="s">
        <v>539</v>
      </c>
      <c r="W160" s="38">
        <v>89.361999999999995</v>
      </c>
      <c r="X160" s="38">
        <v>138.68</v>
      </c>
      <c r="Y160" s="39" t="s">
        <v>540</v>
      </c>
      <c r="Z160" s="39" t="s">
        <v>540</v>
      </c>
      <c r="AA160" s="41" t="s">
        <v>540</v>
      </c>
      <c r="AB160" s="42" t="s">
        <v>540</v>
      </c>
      <c r="AC160" s="40"/>
      <c r="AD160" s="43" t="s">
        <v>540</v>
      </c>
      <c r="AE160" s="39" t="s">
        <v>539</v>
      </c>
      <c r="AF160" s="39" t="s">
        <v>539</v>
      </c>
      <c r="AG160" s="43" t="s">
        <v>539</v>
      </c>
      <c r="AH160" s="43">
        <v>207.85499999999999</v>
      </c>
      <c r="AI160" s="43">
        <v>13.117000000000001</v>
      </c>
      <c r="AJ160" s="39" t="s">
        <v>539</v>
      </c>
      <c r="AK160" s="39" t="s">
        <v>539</v>
      </c>
      <c r="AL160" s="44"/>
      <c r="AM160" s="43" t="s">
        <v>539</v>
      </c>
      <c r="AN160" s="39" t="s">
        <v>539</v>
      </c>
      <c r="AO160" s="39" t="s">
        <v>539</v>
      </c>
      <c r="AP160" s="43" t="s">
        <v>539</v>
      </c>
      <c r="AQ160" s="43">
        <v>207.85499999999999</v>
      </c>
      <c r="AR160" s="43">
        <v>13.117000000000001</v>
      </c>
      <c r="AS160" s="39" t="s">
        <v>539</v>
      </c>
      <c r="AT160" s="39" t="s">
        <v>539</v>
      </c>
      <c r="AU160" s="1">
        <v>9748.1254495049998</v>
      </c>
    </row>
    <row r="161" spans="2:47" ht="18" customHeight="1" x14ac:dyDescent="0.25">
      <c r="B161" s="2">
        <f>IF(G161=$B$6,MAX(B$7:B160)+1,IF($B$6="Nifty 500 - All Sector",B160+1,0))</f>
        <v>0</v>
      </c>
      <c r="C161" s="36">
        <v>22012</v>
      </c>
      <c r="D161" s="36" t="s">
        <v>180</v>
      </c>
      <c r="E161" s="36" t="s">
        <v>527</v>
      </c>
      <c r="F161" s="36" t="s">
        <v>707</v>
      </c>
      <c r="G161" s="36" t="s">
        <v>604</v>
      </c>
      <c r="H161" s="36" t="s">
        <v>529</v>
      </c>
      <c r="I161" s="37" t="s">
        <v>540</v>
      </c>
      <c r="J161" s="38" t="s">
        <v>539</v>
      </c>
      <c r="K161" s="39" t="s">
        <v>540</v>
      </c>
      <c r="L161" s="39" t="s">
        <v>540</v>
      </c>
      <c r="M161" s="38" t="s">
        <v>539</v>
      </c>
      <c r="N161" s="38">
        <v>448.91899999999998</v>
      </c>
      <c r="O161" s="38">
        <v>663.6</v>
      </c>
      <c r="P161" s="39" t="s">
        <v>540</v>
      </c>
      <c r="Q161" s="39" t="s">
        <v>540</v>
      </c>
      <c r="R161" s="40"/>
      <c r="S161" s="38" t="s">
        <v>539</v>
      </c>
      <c r="T161" s="39" t="s">
        <v>540</v>
      </c>
      <c r="U161" s="39" t="s">
        <v>540</v>
      </c>
      <c r="V161" s="38" t="s">
        <v>539</v>
      </c>
      <c r="W161" s="38">
        <v>56.529000000000003</v>
      </c>
      <c r="X161" s="38">
        <v>93.22</v>
      </c>
      <c r="Y161" s="39" t="s">
        <v>540</v>
      </c>
      <c r="Z161" s="39" t="s">
        <v>540</v>
      </c>
      <c r="AA161" s="41" t="s">
        <v>540</v>
      </c>
      <c r="AB161" s="42" t="s">
        <v>540</v>
      </c>
      <c r="AC161" s="40"/>
      <c r="AD161" s="43" t="s">
        <v>540</v>
      </c>
      <c r="AE161" s="39" t="s">
        <v>539</v>
      </c>
      <c r="AF161" s="39" t="s">
        <v>539</v>
      </c>
      <c r="AG161" s="43" t="s">
        <v>539</v>
      </c>
      <c r="AH161" s="43">
        <v>23.395</v>
      </c>
      <c r="AI161" s="43">
        <v>46.298999999999999</v>
      </c>
      <c r="AJ161" s="39" t="s">
        <v>539</v>
      </c>
      <c r="AK161" s="39" t="s">
        <v>539</v>
      </c>
      <c r="AL161" s="44"/>
      <c r="AM161" s="43" t="s">
        <v>539</v>
      </c>
      <c r="AN161" s="39" t="s">
        <v>539</v>
      </c>
      <c r="AO161" s="39" t="s">
        <v>539</v>
      </c>
      <c r="AP161" s="43" t="s">
        <v>539</v>
      </c>
      <c r="AQ161" s="43">
        <v>21.001999999999999</v>
      </c>
      <c r="AR161" s="43">
        <v>46.396999999999998</v>
      </c>
      <c r="AS161" s="39" t="s">
        <v>539</v>
      </c>
      <c r="AT161" s="39" t="s">
        <v>539</v>
      </c>
      <c r="AU161" s="1">
        <v>10074.179255695</v>
      </c>
    </row>
    <row r="162" spans="2:47" ht="18" customHeight="1" x14ac:dyDescent="0.25">
      <c r="B162" s="2">
        <f>IF(G162=$B$6,MAX(B$7:B161)+1,IF($B$6="Nifty 500 - All Sector",B161+1,0))</f>
        <v>0</v>
      </c>
      <c r="C162" s="36">
        <v>34</v>
      </c>
      <c r="D162" s="36" t="s">
        <v>181</v>
      </c>
      <c r="E162" s="36" t="s">
        <v>527</v>
      </c>
      <c r="F162" s="36" t="s">
        <v>708</v>
      </c>
      <c r="G162" s="36" t="s">
        <v>537</v>
      </c>
      <c r="H162" s="36" t="s">
        <v>532</v>
      </c>
      <c r="I162" s="37" t="s">
        <v>540</v>
      </c>
      <c r="J162" s="38">
        <v>8785.376470588235</v>
      </c>
      <c r="K162" s="39">
        <v>5.1019387765657953</v>
      </c>
      <c r="L162" s="39">
        <v>-0.92075499335474431</v>
      </c>
      <c r="M162" s="38" t="s">
        <v>539</v>
      </c>
      <c r="N162" s="38">
        <v>8358.91</v>
      </c>
      <c r="O162" s="38">
        <v>8867.0199999999986</v>
      </c>
      <c r="P162" s="39" t="s">
        <v>540</v>
      </c>
      <c r="Q162" s="39" t="s">
        <v>540</v>
      </c>
      <c r="R162" s="40"/>
      <c r="S162" s="38">
        <v>1578.8785714285716</v>
      </c>
      <c r="T162" s="39">
        <v>17.97166662936251</v>
      </c>
      <c r="U162" s="39">
        <v>79.000059874368489</v>
      </c>
      <c r="V162" s="38" t="s">
        <v>539</v>
      </c>
      <c r="W162" s="38">
        <v>1436.2</v>
      </c>
      <c r="X162" s="38">
        <v>1780.96</v>
      </c>
      <c r="Y162" s="39" t="s">
        <v>540</v>
      </c>
      <c r="Z162" s="39" t="s">
        <v>540</v>
      </c>
      <c r="AA162" s="41" t="s">
        <v>540</v>
      </c>
      <c r="AB162" s="42" t="s">
        <v>540</v>
      </c>
      <c r="AC162" s="40"/>
      <c r="AD162" s="43">
        <v>1061.6813</v>
      </c>
      <c r="AE162" s="39">
        <v>56.640989701672886</v>
      </c>
      <c r="AF162" s="39">
        <v>5.3077655554122805</v>
      </c>
      <c r="AG162" s="43" t="s">
        <v>539</v>
      </c>
      <c r="AH162" s="43">
        <v>677.780000000001</v>
      </c>
      <c r="AI162" s="43">
        <v>1008.17</v>
      </c>
      <c r="AJ162" s="39" t="s">
        <v>539</v>
      </c>
      <c r="AK162" s="39" t="s">
        <v>539</v>
      </c>
      <c r="AL162" s="44"/>
      <c r="AM162" s="43">
        <v>1061.6813</v>
      </c>
      <c r="AN162" s="39">
        <v>53.393336511926947</v>
      </c>
      <c r="AO162" s="39">
        <v>0.17089831771821551</v>
      </c>
      <c r="AP162" s="43" t="s">
        <v>539</v>
      </c>
      <c r="AQ162" s="43">
        <v>692.13</v>
      </c>
      <c r="AR162" s="43">
        <v>1059.8699999999999</v>
      </c>
      <c r="AS162" s="39" t="s">
        <v>539</v>
      </c>
      <c r="AT162" s="39" t="s">
        <v>539</v>
      </c>
      <c r="AU162" s="1">
        <v>232408.82852805001</v>
      </c>
    </row>
    <row r="163" spans="2:47" ht="18" customHeight="1" x14ac:dyDescent="0.25">
      <c r="B163" s="2">
        <f>IF(G163=$B$6,MAX(B$7:B162)+1,IF($B$6="Nifty 500 - All Sector",B162+1,0))</f>
        <v>0</v>
      </c>
      <c r="C163" s="36">
        <v>40065</v>
      </c>
      <c r="D163" s="36" t="s">
        <v>182</v>
      </c>
      <c r="E163" s="36" t="s">
        <v>527</v>
      </c>
      <c r="F163" s="36" t="s">
        <v>709</v>
      </c>
      <c r="G163" s="36" t="s">
        <v>537</v>
      </c>
      <c r="H163" s="36" t="s">
        <v>529</v>
      </c>
      <c r="I163" s="37" t="s">
        <v>540</v>
      </c>
      <c r="J163" s="38">
        <v>1880.5285714285715</v>
      </c>
      <c r="K163" s="39" t="s">
        <v>540</v>
      </c>
      <c r="L163" s="39">
        <v>15.994656581375221</v>
      </c>
      <c r="M163" s="38" t="s">
        <v>539</v>
      </c>
      <c r="N163" s="38">
        <v>0</v>
      </c>
      <c r="O163" s="38">
        <v>1621.22</v>
      </c>
      <c r="P163" s="39" t="s">
        <v>540</v>
      </c>
      <c r="Q163" s="39" t="s">
        <v>540</v>
      </c>
      <c r="R163" s="40"/>
      <c r="S163" s="38">
        <v>370.54285714285709</v>
      </c>
      <c r="T163" s="39">
        <v>19.7041865129105</v>
      </c>
      <c r="U163" s="39" t="s">
        <v>540</v>
      </c>
      <c r="V163" s="38" t="s">
        <v>539</v>
      </c>
      <c r="W163" s="38" t="s">
        <v>540</v>
      </c>
      <c r="X163" s="38">
        <v>285.04000000000002</v>
      </c>
      <c r="Y163" s="39" t="s">
        <v>540</v>
      </c>
      <c r="Z163" s="39" t="s">
        <v>540</v>
      </c>
      <c r="AA163" s="41" t="s">
        <v>540</v>
      </c>
      <c r="AB163" s="42" t="s">
        <v>540</v>
      </c>
      <c r="AC163" s="40"/>
      <c r="AD163" s="43">
        <v>156.92500000000001</v>
      </c>
      <c r="AE163" s="39" t="s">
        <v>539</v>
      </c>
      <c r="AF163" s="39">
        <v>35.361856292590367</v>
      </c>
      <c r="AG163" s="43" t="s">
        <v>539</v>
      </c>
      <c r="AH163" s="43">
        <v>0</v>
      </c>
      <c r="AI163" s="43">
        <v>115.93</v>
      </c>
      <c r="AJ163" s="39" t="s">
        <v>539</v>
      </c>
      <c r="AK163" s="39" t="s">
        <v>539</v>
      </c>
      <c r="AL163" s="44"/>
      <c r="AM163" s="43">
        <v>156.92500000000001</v>
      </c>
      <c r="AN163" s="39" t="s">
        <v>539</v>
      </c>
      <c r="AO163" s="39">
        <v>10.44056583855304</v>
      </c>
      <c r="AP163" s="43" t="s">
        <v>539</v>
      </c>
      <c r="AQ163" s="43">
        <v>0</v>
      </c>
      <c r="AR163" s="43">
        <v>142.09</v>
      </c>
      <c r="AS163" s="39" t="s">
        <v>539</v>
      </c>
      <c r="AT163" s="39" t="s">
        <v>539</v>
      </c>
      <c r="AU163" s="1">
        <v>17546.50672632</v>
      </c>
    </row>
    <row r="164" spans="2:47" ht="18" customHeight="1" x14ac:dyDescent="0.25">
      <c r="B164" s="2">
        <f>IF(G164=$B$6,MAX(B$7:B163)+1,IF($B$6="Nifty 500 - All Sector",B163+1,0))</f>
        <v>0</v>
      </c>
      <c r="C164" s="36">
        <v>1129</v>
      </c>
      <c r="D164" s="36" t="s">
        <v>183</v>
      </c>
      <c r="E164" s="36" t="s">
        <v>527</v>
      </c>
      <c r="F164" s="36" t="s">
        <v>710</v>
      </c>
      <c r="G164" s="36" t="s">
        <v>537</v>
      </c>
      <c r="H164" s="36" t="s">
        <v>529</v>
      </c>
      <c r="I164" s="37" t="s">
        <v>540</v>
      </c>
      <c r="J164" s="38">
        <v>1297.3384615384616</v>
      </c>
      <c r="K164" s="39">
        <v>6.1782102171675568</v>
      </c>
      <c r="L164" s="39">
        <v>11.048778657016566</v>
      </c>
      <c r="M164" s="38" t="s">
        <v>539</v>
      </c>
      <c r="N164" s="38">
        <v>1221.8499999999999</v>
      </c>
      <c r="O164" s="38">
        <v>1168.26</v>
      </c>
      <c r="P164" s="39" t="s">
        <v>540</v>
      </c>
      <c r="Q164" s="39" t="s">
        <v>540</v>
      </c>
      <c r="R164" s="40"/>
      <c r="S164" s="38">
        <v>222.63333333333335</v>
      </c>
      <c r="T164" s="39">
        <v>17.160774919855644</v>
      </c>
      <c r="U164" s="39">
        <v>583.61442368749169</v>
      </c>
      <c r="V164" s="38" t="s">
        <v>539</v>
      </c>
      <c r="W164" s="38">
        <v>138.37</v>
      </c>
      <c r="X164" s="38">
        <v>201.19</v>
      </c>
      <c r="Y164" s="39" t="s">
        <v>540</v>
      </c>
      <c r="Z164" s="39" t="s">
        <v>540</v>
      </c>
      <c r="AA164" s="41" t="s">
        <v>540</v>
      </c>
      <c r="AB164" s="42" t="s">
        <v>540</v>
      </c>
      <c r="AC164" s="40"/>
      <c r="AD164" s="43">
        <v>140.0667</v>
      </c>
      <c r="AE164" s="39">
        <v>109.11719916392921</v>
      </c>
      <c r="AF164" s="39">
        <v>60.608531131750951</v>
      </c>
      <c r="AG164" s="43" t="s">
        <v>539</v>
      </c>
      <c r="AH164" s="43">
        <v>66.980000000000103</v>
      </c>
      <c r="AI164" s="43">
        <v>87.21</v>
      </c>
      <c r="AJ164" s="39" t="s">
        <v>539</v>
      </c>
      <c r="AK164" s="39" t="s">
        <v>539</v>
      </c>
      <c r="AL164" s="44"/>
      <c r="AM164" s="43">
        <v>140.0667</v>
      </c>
      <c r="AN164" s="39">
        <v>229.41368767638755</v>
      </c>
      <c r="AO164" s="39">
        <v>59.674760601915189</v>
      </c>
      <c r="AP164" s="43" t="s">
        <v>539</v>
      </c>
      <c r="AQ164" s="43">
        <v>42.52</v>
      </c>
      <c r="AR164" s="43">
        <v>87.72</v>
      </c>
      <c r="AS164" s="39" t="s">
        <v>539</v>
      </c>
      <c r="AT164" s="39" t="s">
        <v>539</v>
      </c>
      <c r="AU164" s="1">
        <v>18478.771085799999</v>
      </c>
    </row>
    <row r="165" spans="2:47" ht="18" customHeight="1" x14ac:dyDescent="0.25">
      <c r="B165" s="2">
        <f>IF(G165=$B$6,MAX(B$7:B164)+1,IF($B$6="Nifty 500 - All Sector",B164+1,0))</f>
        <v>0</v>
      </c>
      <c r="C165" s="36">
        <v>348</v>
      </c>
      <c r="D165" s="36" t="s">
        <v>184</v>
      </c>
      <c r="E165" s="36" t="s">
        <v>527</v>
      </c>
      <c r="F165" s="36" t="s">
        <v>711</v>
      </c>
      <c r="G165" s="36" t="s">
        <v>542</v>
      </c>
      <c r="H165" s="36" t="s">
        <v>532</v>
      </c>
      <c r="I165" s="37" t="s">
        <v>540</v>
      </c>
      <c r="J165" s="38">
        <v>84391.541666666657</v>
      </c>
      <c r="K165" s="39">
        <v>13.441262543192201</v>
      </c>
      <c r="L165" s="39">
        <v>18.113220442726362</v>
      </c>
      <c r="M165" s="38" t="s">
        <v>539</v>
      </c>
      <c r="N165" s="38">
        <v>74392.28</v>
      </c>
      <c r="O165" s="38">
        <v>71449.7</v>
      </c>
      <c r="P165" s="39" t="s">
        <v>540</v>
      </c>
      <c r="Q165" s="39" t="s">
        <v>540</v>
      </c>
      <c r="R165" s="40"/>
      <c r="S165" s="38">
        <v>9379.2000000000007</v>
      </c>
      <c r="T165" s="39">
        <v>11.113910013691145</v>
      </c>
      <c r="U165" s="39">
        <v>-216.15804000991173</v>
      </c>
      <c r="V165" s="38" t="s">
        <v>539</v>
      </c>
      <c r="W165" s="38">
        <v>9875.9400000000096</v>
      </c>
      <c r="X165" s="38">
        <v>9190.21000000001</v>
      </c>
      <c r="Y165" s="39" t="s">
        <v>540</v>
      </c>
      <c r="Z165" s="39" t="s">
        <v>540</v>
      </c>
      <c r="AA165" s="41" t="s">
        <v>540</v>
      </c>
      <c r="AB165" s="42" t="s">
        <v>540</v>
      </c>
      <c r="AC165" s="40"/>
      <c r="AD165" s="43">
        <v>5488.9800000000005</v>
      </c>
      <c r="AE165" s="39">
        <v>-10.50731726404771</v>
      </c>
      <c r="AF165" s="39">
        <v>43.344223251149351</v>
      </c>
      <c r="AG165" s="43" t="s">
        <v>539</v>
      </c>
      <c r="AH165" s="43">
        <v>6133.4400000000096</v>
      </c>
      <c r="AI165" s="43">
        <v>3829.23000000001</v>
      </c>
      <c r="AJ165" s="39" t="s">
        <v>539</v>
      </c>
      <c r="AK165" s="39" t="s">
        <v>539</v>
      </c>
      <c r="AL165" s="44"/>
      <c r="AM165" s="43">
        <v>5488.9800000000005</v>
      </c>
      <c r="AN165" s="39">
        <v>-0.15062049093548247</v>
      </c>
      <c r="AO165" s="39">
        <v>70.724485320875502</v>
      </c>
      <c r="AP165" s="43" t="s">
        <v>539</v>
      </c>
      <c r="AQ165" s="43">
        <v>5497.26</v>
      </c>
      <c r="AR165" s="43">
        <v>3215.11</v>
      </c>
      <c r="AS165" s="39" t="s">
        <v>539</v>
      </c>
      <c r="AT165" s="39" t="s">
        <v>539</v>
      </c>
      <c r="AU165" s="1">
        <v>560687.04616114998</v>
      </c>
    </row>
    <row r="166" spans="2:47" ht="18" customHeight="1" x14ac:dyDescent="0.25">
      <c r="B166" s="2">
        <f>IF(G166=$B$6,MAX(B$7:B165)+1,IF($B$6="Nifty 500 - All Sector",B165+1,0))</f>
        <v>0</v>
      </c>
      <c r="C166" s="36">
        <v>2298</v>
      </c>
      <c r="D166" s="36" t="s">
        <v>185</v>
      </c>
      <c r="E166" s="36" t="s">
        <v>527</v>
      </c>
      <c r="F166" s="36" t="s">
        <v>712</v>
      </c>
      <c r="G166" s="36" t="s">
        <v>542</v>
      </c>
      <c r="H166" s="36" t="s">
        <v>532</v>
      </c>
      <c r="I166" s="37" t="s">
        <v>540</v>
      </c>
      <c r="J166" s="38">
        <v>9657.9857142857145</v>
      </c>
      <c r="K166" s="39">
        <v>5.5564862937652393</v>
      </c>
      <c r="L166" s="39">
        <v>35.0040287996773</v>
      </c>
      <c r="M166" s="38" t="s">
        <v>539</v>
      </c>
      <c r="N166" s="38">
        <v>9149.59</v>
      </c>
      <c r="O166" s="38">
        <v>7153.85</v>
      </c>
      <c r="P166" s="39" t="s">
        <v>540</v>
      </c>
      <c r="Q166" s="39" t="s">
        <v>540</v>
      </c>
      <c r="R166" s="40"/>
      <c r="S166" s="38">
        <v>2584.9333333333334</v>
      </c>
      <c r="T166" s="39">
        <v>26.764725169450198</v>
      </c>
      <c r="U166" s="39">
        <v>-401.32659755082079</v>
      </c>
      <c r="V166" s="38" t="s">
        <v>539</v>
      </c>
      <c r="W166" s="38">
        <v>2816.06</v>
      </c>
      <c r="X166" s="38">
        <v>2127.2399999999998</v>
      </c>
      <c r="Y166" s="39" t="s">
        <v>540</v>
      </c>
      <c r="Z166" s="39" t="s">
        <v>540</v>
      </c>
      <c r="AA166" s="41" t="s">
        <v>540</v>
      </c>
      <c r="AB166" s="42" t="s">
        <v>540</v>
      </c>
      <c r="AC166" s="40"/>
      <c r="AD166" s="43">
        <v>2168.4429</v>
      </c>
      <c r="AE166" s="39">
        <v>2.2363355193987688</v>
      </c>
      <c r="AF166" s="39">
        <v>38.10066934574796</v>
      </c>
      <c r="AG166" s="43" t="s">
        <v>539</v>
      </c>
      <c r="AH166" s="43">
        <v>2121.0100000000002</v>
      </c>
      <c r="AI166" s="43">
        <v>1570.19</v>
      </c>
      <c r="AJ166" s="39" t="s">
        <v>539</v>
      </c>
      <c r="AK166" s="39" t="s">
        <v>539</v>
      </c>
      <c r="AL166" s="44"/>
      <c r="AM166" s="43">
        <v>2168.4429</v>
      </c>
      <c r="AN166" s="39">
        <v>1.9465031217090534</v>
      </c>
      <c r="AO166" s="39">
        <v>37.321442593882594</v>
      </c>
      <c r="AP166" s="43" t="s">
        <v>539</v>
      </c>
      <c r="AQ166" s="43">
        <v>2127.04</v>
      </c>
      <c r="AR166" s="43">
        <v>1579.1</v>
      </c>
      <c r="AS166" s="39" t="s">
        <v>539</v>
      </c>
      <c r="AT166" s="39" t="s">
        <v>539</v>
      </c>
      <c r="AU166" s="1">
        <v>327112.60259775002</v>
      </c>
    </row>
    <row r="167" spans="2:47" ht="18" customHeight="1" x14ac:dyDescent="0.25">
      <c r="B167" s="2">
        <f>IF(G167=$B$6,MAX(B$7:B166)+1,IF($B$6="Nifty 500 - All Sector",B166+1,0))</f>
        <v>0</v>
      </c>
      <c r="C167" s="36">
        <v>12030</v>
      </c>
      <c r="D167" s="36" t="s">
        <v>186</v>
      </c>
      <c r="E167" s="36" t="s">
        <v>527</v>
      </c>
      <c r="F167" s="36" t="s">
        <v>713</v>
      </c>
      <c r="G167" s="36" t="s">
        <v>542</v>
      </c>
      <c r="H167" s="36" t="s">
        <v>532</v>
      </c>
      <c r="I167" s="37" t="s">
        <v>540</v>
      </c>
      <c r="J167" s="38">
        <v>13705.539999999999</v>
      </c>
      <c r="K167" s="39">
        <v>4.1533301459506511E-2</v>
      </c>
      <c r="L167" s="39">
        <v>78.021769626435272</v>
      </c>
      <c r="M167" s="38" t="s">
        <v>539</v>
      </c>
      <c r="N167" s="38">
        <v>13699.85</v>
      </c>
      <c r="O167" s="38">
        <v>7698.8</v>
      </c>
      <c r="P167" s="39" t="s">
        <v>540</v>
      </c>
      <c r="Q167" s="39" t="s">
        <v>540</v>
      </c>
      <c r="R167" s="40"/>
      <c r="S167" s="38">
        <v>4635.5833333333339</v>
      </c>
      <c r="T167" s="39">
        <v>33.822697488266307</v>
      </c>
      <c r="U167" s="39">
        <v>-482.66307890505971</v>
      </c>
      <c r="V167" s="38" t="s">
        <v>539</v>
      </c>
      <c r="W167" s="38">
        <v>5294.9</v>
      </c>
      <c r="X167" s="38">
        <v>1870.97</v>
      </c>
      <c r="Y167" s="39" t="s">
        <v>540</v>
      </c>
      <c r="Z167" s="39" t="s">
        <v>540</v>
      </c>
      <c r="AA167" s="41" t="s">
        <v>540</v>
      </c>
      <c r="AB167" s="42" t="s">
        <v>540</v>
      </c>
      <c r="AC167" s="40"/>
      <c r="AD167" s="43">
        <v>3419.6624999999999</v>
      </c>
      <c r="AE167" s="39">
        <v>-13.633327187729671</v>
      </c>
      <c r="AF167" s="39">
        <v>84.459754676678074</v>
      </c>
      <c r="AG167" s="43" t="s">
        <v>539</v>
      </c>
      <c r="AH167" s="43">
        <v>3959.47</v>
      </c>
      <c r="AI167" s="43">
        <v>1853.88</v>
      </c>
      <c r="AJ167" s="39" t="s">
        <v>539</v>
      </c>
      <c r="AK167" s="39" t="s">
        <v>539</v>
      </c>
      <c r="AL167" s="44"/>
      <c r="AM167" s="43">
        <v>3419.6624999999999</v>
      </c>
      <c r="AN167" s="39">
        <v>-14.006666398434863</v>
      </c>
      <c r="AO167" s="39">
        <v>83.194896822165546</v>
      </c>
      <c r="AP167" s="43" t="s">
        <v>539</v>
      </c>
      <c r="AQ167" s="43">
        <v>3976.66</v>
      </c>
      <c r="AR167" s="43">
        <v>1866.68</v>
      </c>
      <c r="AS167" s="39" t="s">
        <v>539</v>
      </c>
      <c r="AT167" s="39" t="s">
        <v>539</v>
      </c>
      <c r="AU167" s="1">
        <v>283533.84899999999</v>
      </c>
    </row>
    <row r="168" spans="2:47" ht="18" customHeight="1" x14ac:dyDescent="0.25">
      <c r="B168" s="2">
        <f>IF(G168=$B$6,MAX(B$7:B167)+1,IF($B$6="Nifty 500 - All Sector",B167+1,0))</f>
        <v>0</v>
      </c>
      <c r="C168" s="36">
        <v>25386</v>
      </c>
      <c r="D168" s="36" t="s">
        <v>187</v>
      </c>
      <c r="E168" s="36" t="s">
        <v>527</v>
      </c>
      <c r="F168" s="36" t="s">
        <v>714</v>
      </c>
      <c r="G168" s="36" t="s">
        <v>542</v>
      </c>
      <c r="H168" s="36" t="s">
        <v>532</v>
      </c>
      <c r="I168" s="37" t="s">
        <v>540</v>
      </c>
      <c r="J168" s="38">
        <v>2873.8599999999997</v>
      </c>
      <c r="K168" s="39">
        <v>32.646834829567716</v>
      </c>
      <c r="L168" s="39">
        <v>12.774690776668528</v>
      </c>
      <c r="M168" s="38" t="s">
        <v>539</v>
      </c>
      <c r="N168" s="38">
        <v>2166.5500000000002</v>
      </c>
      <c r="O168" s="38">
        <v>2548.3200000000002</v>
      </c>
      <c r="P168" s="39" t="s">
        <v>540</v>
      </c>
      <c r="Q168" s="39" t="s">
        <v>540</v>
      </c>
      <c r="R168" s="40"/>
      <c r="S168" s="38">
        <v>794.08333333333326</v>
      </c>
      <c r="T168" s="39">
        <v>27.63124624488783</v>
      </c>
      <c r="U168" s="39">
        <v>272.20588271037974</v>
      </c>
      <c r="V168" s="38" t="s">
        <v>539</v>
      </c>
      <c r="W168" s="38">
        <v>539.66999999999996</v>
      </c>
      <c r="X168" s="38">
        <v>708.2</v>
      </c>
      <c r="Y168" s="39" t="s">
        <v>540</v>
      </c>
      <c r="Z168" s="39" t="s">
        <v>540</v>
      </c>
      <c r="AA168" s="41" t="s">
        <v>540</v>
      </c>
      <c r="AB168" s="42" t="s">
        <v>540</v>
      </c>
      <c r="AC168" s="40"/>
      <c r="AD168" s="43">
        <v>464.72500000000002</v>
      </c>
      <c r="AE168" s="39">
        <v>33.277409733574245</v>
      </c>
      <c r="AF168" s="39">
        <v>-0.41678273726616366</v>
      </c>
      <c r="AG168" s="43" t="s">
        <v>539</v>
      </c>
      <c r="AH168" s="43">
        <v>348.69</v>
      </c>
      <c r="AI168" s="43">
        <v>466.67</v>
      </c>
      <c r="AJ168" s="39" t="s">
        <v>539</v>
      </c>
      <c r="AK168" s="39" t="s">
        <v>539</v>
      </c>
      <c r="AL168" s="44"/>
      <c r="AM168" s="43">
        <v>464.72500000000002</v>
      </c>
      <c r="AN168" s="39">
        <v>44.221518790925728</v>
      </c>
      <c r="AO168" s="39">
        <v>4.1400560224089666</v>
      </c>
      <c r="AP168" s="43" t="s">
        <v>539</v>
      </c>
      <c r="AQ168" s="43">
        <v>322.23</v>
      </c>
      <c r="AR168" s="43">
        <v>446.25</v>
      </c>
      <c r="AS168" s="39" t="s">
        <v>539</v>
      </c>
      <c r="AT168" s="39" t="s">
        <v>539</v>
      </c>
      <c r="AU168" s="1">
        <v>134658.25084550001</v>
      </c>
    </row>
    <row r="169" spans="2:47" ht="18" customHeight="1" x14ac:dyDescent="0.25">
      <c r="B169" s="2">
        <f>IF(G169=$B$6,MAX(B$7:B168)+1,IF($B$6="Nifty 500 - All Sector",B168+1,0))</f>
        <v>0</v>
      </c>
      <c r="C169" s="36">
        <v>40279</v>
      </c>
      <c r="D169" s="36" t="s">
        <v>188</v>
      </c>
      <c r="E169" s="36" t="s">
        <v>527</v>
      </c>
      <c r="F169" s="36" t="s">
        <v>715</v>
      </c>
      <c r="G169" s="36" t="s">
        <v>542</v>
      </c>
      <c r="H169" s="36" t="s">
        <v>535</v>
      </c>
      <c r="I169" s="37" t="s">
        <v>540</v>
      </c>
      <c r="J169" s="38">
        <v>8277.5615384615394</v>
      </c>
      <c r="K169" s="39">
        <v>7.1237791469184852</v>
      </c>
      <c r="L169" s="39">
        <v>1.6113025356485622</v>
      </c>
      <c r="M169" s="38" t="s">
        <v>539</v>
      </c>
      <c r="N169" s="38">
        <v>7727.1</v>
      </c>
      <c r="O169" s="38">
        <v>8146.3</v>
      </c>
      <c r="P169" s="39" t="s">
        <v>540</v>
      </c>
      <c r="Q169" s="39" t="s">
        <v>540</v>
      </c>
      <c r="R169" s="40"/>
      <c r="S169" s="38">
        <v>4538.79</v>
      </c>
      <c r="T169" s="39">
        <v>54.832452515279954</v>
      </c>
      <c r="U169" s="39">
        <v>-112.64453894967374</v>
      </c>
      <c r="V169" s="38" t="s">
        <v>539</v>
      </c>
      <c r="W169" s="38">
        <v>4324</v>
      </c>
      <c r="X169" s="38">
        <v>4467.8999999999996</v>
      </c>
      <c r="Y169" s="39" t="s">
        <v>540</v>
      </c>
      <c r="Z169" s="39" t="s">
        <v>540</v>
      </c>
      <c r="AA169" s="41" t="s">
        <v>540</v>
      </c>
      <c r="AB169" s="42" t="s">
        <v>540</v>
      </c>
      <c r="AC169" s="40"/>
      <c r="AD169" s="43">
        <v>1799.75</v>
      </c>
      <c r="AE169" s="39">
        <v>1.1606992299477259</v>
      </c>
      <c r="AF169" s="39">
        <v>1.3429810237062911</v>
      </c>
      <c r="AG169" s="43" t="s">
        <v>539</v>
      </c>
      <c r="AH169" s="43">
        <v>1779.1</v>
      </c>
      <c r="AI169" s="43">
        <v>1775.9</v>
      </c>
      <c r="AJ169" s="39" t="s">
        <v>539</v>
      </c>
      <c r="AK169" s="39" t="s">
        <v>539</v>
      </c>
      <c r="AL169" s="44"/>
      <c r="AM169" s="43">
        <v>1799.75</v>
      </c>
      <c r="AN169" s="39">
        <v>1.1606992299477259</v>
      </c>
      <c r="AO169" s="39">
        <v>1.3429810237062911</v>
      </c>
      <c r="AP169" s="43" t="s">
        <v>539</v>
      </c>
      <c r="AQ169" s="43">
        <v>1779.1</v>
      </c>
      <c r="AR169" s="43">
        <v>1775.9</v>
      </c>
      <c r="AS169" s="39" t="s">
        <v>539</v>
      </c>
      <c r="AT169" s="39" t="s">
        <v>539</v>
      </c>
      <c r="AU169" s="1">
        <v>110881.98067670999</v>
      </c>
    </row>
    <row r="170" spans="2:47" ht="18" customHeight="1" x14ac:dyDescent="0.25">
      <c r="B170" s="2">
        <f>IF(G170=$B$6,MAX(B$7:B169)+1,IF($B$6="Nifty 500 - All Sector",B169+1,0))</f>
        <v>0</v>
      </c>
      <c r="C170" s="36">
        <v>74646</v>
      </c>
      <c r="D170" s="36" t="s">
        <v>189</v>
      </c>
      <c r="E170" s="36" t="s">
        <v>533</v>
      </c>
      <c r="F170" s="36" t="s">
        <v>716</v>
      </c>
      <c r="G170" s="36" t="s">
        <v>542</v>
      </c>
      <c r="H170" s="36" t="s">
        <v>535</v>
      </c>
      <c r="I170" s="37" t="s">
        <v>540</v>
      </c>
      <c r="J170" s="38">
        <v>1763.7</v>
      </c>
      <c r="K170" s="39">
        <v>-6.369447039836917</v>
      </c>
      <c r="L170" s="39">
        <v>-15.296727995735305</v>
      </c>
      <c r="M170" s="38" t="s">
        <v>539</v>
      </c>
      <c r="N170" s="38">
        <v>1883.68</v>
      </c>
      <c r="O170" s="38">
        <v>2082.21</v>
      </c>
      <c r="P170" s="39" t="s">
        <v>540</v>
      </c>
      <c r="Q170" s="39" t="s">
        <v>540</v>
      </c>
      <c r="R170" s="40"/>
      <c r="S170" s="38">
        <v>186.61666666666667</v>
      </c>
      <c r="T170" s="39">
        <v>10.58097560053675</v>
      </c>
      <c r="U170" s="39">
        <v>-205.22742083479866</v>
      </c>
      <c r="V170" s="38" t="s">
        <v>539</v>
      </c>
      <c r="W170" s="38">
        <v>237.97</v>
      </c>
      <c r="X170" s="38">
        <v>345.31</v>
      </c>
      <c r="Y170" s="39" t="s">
        <v>540</v>
      </c>
      <c r="Z170" s="39" t="s">
        <v>540</v>
      </c>
      <c r="AA170" s="41" t="s">
        <v>540</v>
      </c>
      <c r="AB170" s="42" t="s">
        <v>540</v>
      </c>
      <c r="AC170" s="40"/>
      <c r="AD170" s="43">
        <v>128.5333</v>
      </c>
      <c r="AE170" s="39">
        <v>-30.103159497525688</v>
      </c>
      <c r="AF170" s="39">
        <v>-50.832644786167855</v>
      </c>
      <c r="AG170" s="43" t="s">
        <v>539</v>
      </c>
      <c r="AH170" s="43">
        <v>183.89</v>
      </c>
      <c r="AI170" s="43">
        <v>261.42</v>
      </c>
      <c r="AJ170" s="39" t="s">
        <v>539</v>
      </c>
      <c r="AK170" s="39" t="s">
        <v>539</v>
      </c>
      <c r="AL170" s="44"/>
      <c r="AM170" s="43">
        <v>128.5333</v>
      </c>
      <c r="AN170" s="39">
        <v>-30.103159497525688</v>
      </c>
      <c r="AO170" s="39">
        <v>-50.832644786167855</v>
      </c>
      <c r="AP170" s="43" t="s">
        <v>539</v>
      </c>
      <c r="AQ170" s="43">
        <v>183.89</v>
      </c>
      <c r="AR170" s="43">
        <v>261.42</v>
      </c>
      <c r="AS170" s="39" t="s">
        <v>539</v>
      </c>
      <c r="AT170" s="39" t="s">
        <v>539</v>
      </c>
      <c r="AU170" s="1">
        <v>126720.788041705</v>
      </c>
    </row>
    <row r="171" spans="2:47" ht="18" customHeight="1" x14ac:dyDescent="0.25">
      <c r="B171" s="2">
        <f>IF(G171=$B$6,MAX(B$7:B170)+1,IF($B$6="Nifty 500 - All Sector",B170+1,0))</f>
        <v>0</v>
      </c>
      <c r="C171" s="36">
        <v>514</v>
      </c>
      <c r="D171" s="36" t="s">
        <v>190</v>
      </c>
      <c r="E171" s="36" t="s">
        <v>527</v>
      </c>
      <c r="F171" s="36" t="s">
        <v>717</v>
      </c>
      <c r="G171" s="36" t="s">
        <v>542</v>
      </c>
      <c r="H171" s="36" t="s">
        <v>532</v>
      </c>
      <c r="I171" s="37" t="s">
        <v>540</v>
      </c>
      <c r="J171" s="38">
        <v>4419.3</v>
      </c>
      <c r="K171" s="39">
        <v>3.7637943179150035</v>
      </c>
      <c r="L171" s="39">
        <v>15.365337927793888</v>
      </c>
      <c r="M171" s="38" t="s">
        <v>539</v>
      </c>
      <c r="N171" s="38">
        <v>4259</v>
      </c>
      <c r="O171" s="38">
        <v>3830.7</v>
      </c>
      <c r="P171" s="39" t="s">
        <v>540</v>
      </c>
      <c r="Q171" s="39" t="s">
        <v>540</v>
      </c>
      <c r="R171" s="40"/>
      <c r="S171" s="38">
        <v>497.9</v>
      </c>
      <c r="T171" s="39">
        <v>11.266490168126172</v>
      </c>
      <c r="U171" s="39">
        <v>28.973506129358206</v>
      </c>
      <c r="V171" s="38" t="s">
        <v>539</v>
      </c>
      <c r="W171" s="38">
        <v>467.5</v>
      </c>
      <c r="X171" s="38">
        <v>421.9</v>
      </c>
      <c r="Y171" s="39" t="s">
        <v>540</v>
      </c>
      <c r="Z171" s="39" t="s">
        <v>540</v>
      </c>
      <c r="AA171" s="41" t="s">
        <v>540</v>
      </c>
      <c r="AB171" s="42" t="s">
        <v>540</v>
      </c>
      <c r="AC171" s="40"/>
      <c r="AD171" s="43">
        <v>396.2</v>
      </c>
      <c r="AE171" s="39">
        <v>-2.8683500858053379</v>
      </c>
      <c r="AF171" s="39">
        <v>47.395833333333329</v>
      </c>
      <c r="AG171" s="43" t="s">
        <v>539</v>
      </c>
      <c r="AH171" s="43">
        <v>407.9</v>
      </c>
      <c r="AI171" s="43">
        <v>268.8</v>
      </c>
      <c r="AJ171" s="39" t="s">
        <v>539</v>
      </c>
      <c r="AK171" s="39" t="s">
        <v>539</v>
      </c>
      <c r="AL171" s="44"/>
      <c r="AM171" s="43">
        <v>396.2</v>
      </c>
      <c r="AN171" s="39">
        <v>-31.92439862542955</v>
      </c>
      <c r="AO171" s="39">
        <v>42.877749729534798</v>
      </c>
      <c r="AP171" s="43" t="s">
        <v>539</v>
      </c>
      <c r="AQ171" s="43">
        <v>582</v>
      </c>
      <c r="AR171" s="43">
        <v>277.3</v>
      </c>
      <c r="AS171" s="39" t="s">
        <v>539</v>
      </c>
      <c r="AT171" s="39" t="s">
        <v>539</v>
      </c>
      <c r="AU171" s="1">
        <v>127380.65401095001</v>
      </c>
    </row>
    <row r="172" spans="2:47" ht="18" customHeight="1" x14ac:dyDescent="0.25">
      <c r="B172" s="2">
        <f>IF(G172=$B$6,MAX(B$7:B171)+1,IF($B$6="Nifty 500 - All Sector",B171+1,0))</f>
        <v>0</v>
      </c>
      <c r="C172" s="36">
        <v>125</v>
      </c>
      <c r="D172" s="36" t="s">
        <v>191</v>
      </c>
      <c r="E172" s="36" t="s">
        <v>527</v>
      </c>
      <c r="F172" s="36" t="s">
        <v>718</v>
      </c>
      <c r="G172" s="36" t="s">
        <v>542</v>
      </c>
      <c r="H172" s="36" t="s">
        <v>532</v>
      </c>
      <c r="I172" s="37" t="s">
        <v>540</v>
      </c>
      <c r="J172" s="38">
        <v>3430.65</v>
      </c>
      <c r="K172" s="39">
        <v>24.6253773471812</v>
      </c>
      <c r="L172" s="39">
        <v>8.0400585762199448</v>
      </c>
      <c r="M172" s="38" t="s">
        <v>539</v>
      </c>
      <c r="N172" s="38">
        <v>2752.77</v>
      </c>
      <c r="O172" s="38">
        <v>3175.35</v>
      </c>
      <c r="P172" s="39" t="s">
        <v>540</v>
      </c>
      <c r="Q172" s="39" t="s">
        <v>540</v>
      </c>
      <c r="R172" s="40"/>
      <c r="S172" s="38">
        <v>432.875</v>
      </c>
      <c r="T172" s="39">
        <v>12.617871248888694</v>
      </c>
      <c r="U172" s="39">
        <v>1.8925459738129646</v>
      </c>
      <c r="V172" s="38" t="s">
        <v>539</v>
      </c>
      <c r="W172" s="38">
        <v>346.82</v>
      </c>
      <c r="X172" s="38">
        <v>397.32</v>
      </c>
      <c r="Y172" s="39" t="s">
        <v>540</v>
      </c>
      <c r="Z172" s="39" t="s">
        <v>540</v>
      </c>
      <c r="AA172" s="41" t="s">
        <v>540</v>
      </c>
      <c r="AB172" s="42" t="s">
        <v>540</v>
      </c>
      <c r="AC172" s="40"/>
      <c r="AD172" s="43">
        <v>332.4556</v>
      </c>
      <c r="AE172" s="39">
        <v>21.219135127251509</v>
      </c>
      <c r="AF172" s="39">
        <v>17.09893980486774</v>
      </c>
      <c r="AG172" s="43" t="s">
        <v>539</v>
      </c>
      <c r="AH172" s="43">
        <v>274.26</v>
      </c>
      <c r="AI172" s="43">
        <v>283.91000000000003</v>
      </c>
      <c r="AJ172" s="39" t="s">
        <v>539</v>
      </c>
      <c r="AK172" s="39" t="s">
        <v>539</v>
      </c>
      <c r="AL172" s="44"/>
      <c r="AM172" s="43">
        <v>332.4556</v>
      </c>
      <c r="AN172" s="39">
        <v>22.239805860940542</v>
      </c>
      <c r="AO172" s="39">
        <v>16.720710599304866</v>
      </c>
      <c r="AP172" s="43" t="s">
        <v>539</v>
      </c>
      <c r="AQ172" s="43">
        <v>271.97000000000003</v>
      </c>
      <c r="AR172" s="43">
        <v>284.83</v>
      </c>
      <c r="AS172" s="39" t="s">
        <v>539</v>
      </c>
      <c r="AT172" s="39" t="s">
        <v>539</v>
      </c>
      <c r="AU172" s="1">
        <v>117701.739544015</v>
      </c>
    </row>
    <row r="173" spans="2:47" ht="18" customHeight="1" x14ac:dyDescent="0.25">
      <c r="B173" s="2">
        <f>IF(G173=$B$6,MAX(B$7:B172)+1,IF($B$6="Nifty 500 - All Sector",B172+1,0))</f>
        <v>0</v>
      </c>
      <c r="C173" s="36">
        <v>26603</v>
      </c>
      <c r="D173" s="36" t="s">
        <v>192</v>
      </c>
      <c r="E173" s="36" t="s">
        <v>527</v>
      </c>
      <c r="F173" s="36" t="s">
        <v>719</v>
      </c>
      <c r="G173" s="36" t="s">
        <v>542</v>
      </c>
      <c r="H173" s="36" t="s">
        <v>535</v>
      </c>
      <c r="I173" s="37" t="s">
        <v>540</v>
      </c>
      <c r="J173" s="38">
        <v>8366.3714285714268</v>
      </c>
      <c r="K173" s="39">
        <v>19.762572988389127</v>
      </c>
      <c r="L173" s="39">
        <v>9.5630066516882337</v>
      </c>
      <c r="M173" s="38" t="s">
        <v>539</v>
      </c>
      <c r="N173" s="38">
        <v>6985.7979999999998</v>
      </c>
      <c r="O173" s="38">
        <v>7636.1279999999997</v>
      </c>
      <c r="P173" s="39" t="s">
        <v>540</v>
      </c>
      <c r="Q173" s="39" t="s">
        <v>540</v>
      </c>
      <c r="R173" s="40"/>
      <c r="S173" s="38">
        <v>1105.2615384615385</v>
      </c>
      <c r="T173" s="39">
        <v>13.210763446229926</v>
      </c>
      <c r="U173" s="39">
        <v>-146.74164839655947</v>
      </c>
      <c r="V173" s="38" t="s">
        <v>539</v>
      </c>
      <c r="W173" s="38">
        <v>1025.3879999999999</v>
      </c>
      <c r="X173" s="38">
        <v>966.072</v>
      </c>
      <c r="Y173" s="39" t="s">
        <v>540</v>
      </c>
      <c r="Z173" s="39" t="s">
        <v>540</v>
      </c>
      <c r="AA173" s="41" t="s">
        <v>540</v>
      </c>
      <c r="AB173" s="42" t="s">
        <v>540</v>
      </c>
      <c r="AC173" s="40"/>
      <c r="AD173" s="43">
        <v>746.04290000000003</v>
      </c>
      <c r="AE173" s="39">
        <v>1.5906187956348683</v>
      </c>
      <c r="AF173" s="39">
        <v>18.387937819756004</v>
      </c>
      <c r="AG173" s="43" t="s">
        <v>539</v>
      </c>
      <c r="AH173" s="43">
        <v>734.36199999999997</v>
      </c>
      <c r="AI173" s="43">
        <v>630.16800000000001</v>
      </c>
      <c r="AJ173" s="39" t="s">
        <v>539</v>
      </c>
      <c r="AK173" s="39" t="s">
        <v>539</v>
      </c>
      <c r="AL173" s="44"/>
      <c r="AM173" s="43">
        <v>746.04290000000003</v>
      </c>
      <c r="AN173" s="39">
        <v>2.6662657499711084</v>
      </c>
      <c r="AO173" s="39">
        <v>20.002396692885526</v>
      </c>
      <c r="AP173" s="43" t="s">
        <v>539</v>
      </c>
      <c r="AQ173" s="43">
        <v>726.66800000000001</v>
      </c>
      <c r="AR173" s="43">
        <v>621.69000000000005</v>
      </c>
      <c r="AS173" s="39" t="s">
        <v>539</v>
      </c>
      <c r="AT173" s="39" t="s">
        <v>539</v>
      </c>
      <c r="AU173" s="1">
        <v>117262.18750554</v>
      </c>
    </row>
    <row r="174" spans="2:47" ht="18" customHeight="1" x14ac:dyDescent="0.25">
      <c r="B174" s="2">
        <f>IF(G174=$B$6,MAX(B$7:B173)+1,IF($B$6="Nifty 500 - All Sector",B173+1,0))</f>
        <v>0</v>
      </c>
      <c r="C174" s="36">
        <v>159</v>
      </c>
      <c r="D174" s="36" t="s">
        <v>193</v>
      </c>
      <c r="E174" s="36" t="s">
        <v>533</v>
      </c>
      <c r="F174" s="36" t="s">
        <v>720</v>
      </c>
      <c r="G174" s="36" t="s">
        <v>542</v>
      </c>
      <c r="H174" s="36" t="s">
        <v>535</v>
      </c>
      <c r="I174" s="37" t="s">
        <v>540</v>
      </c>
      <c r="J174" s="38">
        <v>1467.1</v>
      </c>
      <c r="K174" s="39">
        <v>27.292762073333687</v>
      </c>
      <c r="L174" s="39">
        <v>-13.732477185059755</v>
      </c>
      <c r="M174" s="38" t="s">
        <v>539</v>
      </c>
      <c r="N174" s="38">
        <v>1152.54</v>
      </c>
      <c r="O174" s="38">
        <v>1700.64</v>
      </c>
      <c r="P174" s="39" t="s">
        <v>540</v>
      </c>
      <c r="Q174" s="39" t="s">
        <v>540</v>
      </c>
      <c r="R174" s="40"/>
      <c r="S174" s="38">
        <v>375.21666666666664</v>
      </c>
      <c r="T174" s="39">
        <v>25.575398177811099</v>
      </c>
      <c r="U174" s="39">
        <v>369.85001959623139</v>
      </c>
      <c r="V174" s="38" t="s">
        <v>539</v>
      </c>
      <c r="W174" s="38">
        <v>252.14</v>
      </c>
      <c r="X174" s="38">
        <v>454.63</v>
      </c>
      <c r="Y174" s="39" t="s">
        <v>540</v>
      </c>
      <c r="Z174" s="39" t="s">
        <v>540</v>
      </c>
      <c r="AA174" s="41" t="s">
        <v>540</v>
      </c>
      <c r="AB174" s="42" t="s">
        <v>540</v>
      </c>
      <c r="AC174" s="40"/>
      <c r="AD174" s="43">
        <v>277.14999999999998</v>
      </c>
      <c r="AE174" s="39">
        <v>48.613866695265152</v>
      </c>
      <c r="AF174" s="39">
        <v>-4.6939477303989063</v>
      </c>
      <c r="AG174" s="43" t="s">
        <v>539</v>
      </c>
      <c r="AH174" s="43">
        <v>186.49</v>
      </c>
      <c r="AI174" s="43">
        <v>290.8</v>
      </c>
      <c r="AJ174" s="39" t="s">
        <v>539</v>
      </c>
      <c r="AK174" s="39" t="s">
        <v>539</v>
      </c>
      <c r="AL174" s="44"/>
      <c r="AM174" s="43">
        <v>277.14999999999998</v>
      </c>
      <c r="AN174" s="39">
        <v>48.613866695265152</v>
      </c>
      <c r="AO174" s="39">
        <v>-4.6939477303989063</v>
      </c>
      <c r="AP174" s="43" t="s">
        <v>539</v>
      </c>
      <c r="AQ174" s="43">
        <v>186.49</v>
      </c>
      <c r="AR174" s="43">
        <v>290.8</v>
      </c>
      <c r="AS174" s="39" t="s">
        <v>539</v>
      </c>
      <c r="AT174" s="39" t="s">
        <v>539</v>
      </c>
      <c r="AU174" s="1">
        <v>105795.86779665</v>
      </c>
    </row>
    <row r="175" spans="2:47" ht="18" customHeight="1" x14ac:dyDescent="0.25">
      <c r="B175" s="2">
        <f>IF(G175=$B$6,MAX(B$7:B174)+1,IF($B$6="Nifty 500 - All Sector",B174+1,0))</f>
        <v>0</v>
      </c>
      <c r="C175" s="36">
        <v>12963</v>
      </c>
      <c r="D175" s="36" t="s">
        <v>194</v>
      </c>
      <c r="E175" s="36" t="s">
        <v>527</v>
      </c>
      <c r="F175" s="36" t="s">
        <v>721</v>
      </c>
      <c r="G175" s="36" t="s">
        <v>542</v>
      </c>
      <c r="H175" s="36" t="s">
        <v>532</v>
      </c>
      <c r="I175" s="37" t="s">
        <v>540</v>
      </c>
      <c r="J175" s="38">
        <v>3237.9</v>
      </c>
      <c r="K175" s="39">
        <v>2.0000567034504035</v>
      </c>
      <c r="L175" s="39">
        <v>-10.085557428445281</v>
      </c>
      <c r="M175" s="38" t="s">
        <v>539</v>
      </c>
      <c r="N175" s="38">
        <v>3174.41</v>
      </c>
      <c r="O175" s="38">
        <v>3601.09</v>
      </c>
      <c r="P175" s="39" t="s">
        <v>540</v>
      </c>
      <c r="Q175" s="39" t="s">
        <v>540</v>
      </c>
      <c r="R175" s="40"/>
      <c r="S175" s="38">
        <v>675.2</v>
      </c>
      <c r="T175" s="39">
        <v>20.853022020445351</v>
      </c>
      <c r="U175" s="39">
        <v>1801.7534481028581</v>
      </c>
      <c r="V175" s="38" t="s">
        <v>539</v>
      </c>
      <c r="W175" s="38">
        <v>90.009999999999906</v>
      </c>
      <c r="X175" s="38">
        <v>886.98</v>
      </c>
      <c r="Y175" s="39" t="s">
        <v>540</v>
      </c>
      <c r="Z175" s="39" t="s">
        <v>540</v>
      </c>
      <c r="AA175" s="41" t="s">
        <v>540</v>
      </c>
      <c r="AB175" s="42" t="s">
        <v>540</v>
      </c>
      <c r="AC175" s="40"/>
      <c r="AD175" s="43">
        <v>758</v>
      </c>
      <c r="AE175" s="39">
        <v>161.00130844983127</v>
      </c>
      <c r="AF175" s="39">
        <v>-9.4525342539390493</v>
      </c>
      <c r="AG175" s="43" t="s">
        <v>539</v>
      </c>
      <c r="AH175" s="43">
        <v>290.42</v>
      </c>
      <c r="AI175" s="43">
        <v>837.13</v>
      </c>
      <c r="AJ175" s="39" t="s">
        <v>539</v>
      </c>
      <c r="AK175" s="39" t="s">
        <v>539</v>
      </c>
      <c r="AL175" s="44"/>
      <c r="AM175" s="43">
        <v>758</v>
      </c>
      <c r="AN175" s="39">
        <v>133.02284115712132</v>
      </c>
      <c r="AO175" s="39">
        <v>-13.842096887858323</v>
      </c>
      <c r="AP175" s="43" t="s">
        <v>539</v>
      </c>
      <c r="AQ175" s="43">
        <v>325.29000000000002</v>
      </c>
      <c r="AR175" s="43">
        <v>879.78</v>
      </c>
      <c r="AS175" s="39" t="s">
        <v>539</v>
      </c>
      <c r="AT175" s="39" t="s">
        <v>539</v>
      </c>
      <c r="AU175" s="1">
        <v>102426.2496</v>
      </c>
    </row>
    <row r="176" spans="2:47" ht="18" customHeight="1" x14ac:dyDescent="0.25">
      <c r="B176" s="2">
        <f>IF(G176=$B$6,MAX(B$7:B175)+1,IF($B$6="Nifty 500 - All Sector",B175+1,0))</f>
        <v>0</v>
      </c>
      <c r="C176" s="36">
        <v>93274</v>
      </c>
      <c r="D176" s="36" t="s">
        <v>195</v>
      </c>
      <c r="E176" s="36" t="s">
        <v>533</v>
      </c>
      <c r="F176" s="36" t="s">
        <v>722</v>
      </c>
      <c r="G176" s="36" t="s">
        <v>542</v>
      </c>
      <c r="H176" s="36" t="s">
        <v>532</v>
      </c>
      <c r="I176" s="37" t="s">
        <v>540</v>
      </c>
      <c r="J176" s="38">
        <v>3164.65</v>
      </c>
      <c r="K176" s="39">
        <v>68.377227986166545</v>
      </c>
      <c r="L176" s="39">
        <v>65.610445339892195</v>
      </c>
      <c r="M176" s="38" t="s">
        <v>539</v>
      </c>
      <c r="N176" s="38">
        <v>1879.5</v>
      </c>
      <c r="O176" s="38">
        <v>1910.9</v>
      </c>
      <c r="P176" s="39" t="s">
        <v>540</v>
      </c>
      <c r="Q176" s="39" t="s">
        <v>540</v>
      </c>
      <c r="R176" s="40"/>
      <c r="S176" s="38">
        <v>572.54999999999995</v>
      </c>
      <c r="T176" s="39">
        <v>18.09204809378604</v>
      </c>
      <c r="U176" s="39">
        <v>-98.217377373191539</v>
      </c>
      <c r="V176" s="38" t="s">
        <v>539</v>
      </c>
      <c r="W176" s="38">
        <v>358.5</v>
      </c>
      <c r="X176" s="38">
        <v>460.8</v>
      </c>
      <c r="Y176" s="39" t="s">
        <v>540</v>
      </c>
      <c r="Z176" s="39" t="s">
        <v>540</v>
      </c>
      <c r="AA176" s="41" t="s">
        <v>540</v>
      </c>
      <c r="AB176" s="42" t="s">
        <v>540</v>
      </c>
      <c r="AC176" s="40"/>
      <c r="AD176" s="43">
        <v>428.75</v>
      </c>
      <c r="AE176" s="39">
        <v>74.217797643234462</v>
      </c>
      <c r="AF176" s="39">
        <v>37.024608501118571</v>
      </c>
      <c r="AG176" s="43" t="s">
        <v>539</v>
      </c>
      <c r="AH176" s="43">
        <v>246.1</v>
      </c>
      <c r="AI176" s="43">
        <v>312.89999999999998</v>
      </c>
      <c r="AJ176" s="39" t="s">
        <v>539</v>
      </c>
      <c r="AK176" s="39" t="s">
        <v>539</v>
      </c>
      <c r="AL176" s="44"/>
      <c r="AM176" s="43">
        <v>428.75</v>
      </c>
      <c r="AN176" s="39">
        <v>74.217797643234462</v>
      </c>
      <c r="AO176" s="39">
        <v>37.024608501118571</v>
      </c>
      <c r="AP176" s="43" t="s">
        <v>539</v>
      </c>
      <c r="AQ176" s="43">
        <v>246.1</v>
      </c>
      <c r="AR176" s="43">
        <v>312.89999999999998</v>
      </c>
      <c r="AS176" s="39" t="s">
        <v>539</v>
      </c>
      <c r="AT176" s="39" t="s">
        <v>539</v>
      </c>
      <c r="AU176" s="1">
        <v>103871.448295875</v>
      </c>
    </row>
    <row r="177" spans="2:47" ht="18" customHeight="1" x14ac:dyDescent="0.25">
      <c r="B177" s="2">
        <f>IF(G177=$B$6,MAX(B$7:B176)+1,IF($B$6="Nifty 500 - All Sector",B176+1,0))</f>
        <v>0</v>
      </c>
      <c r="C177" s="36">
        <v>2306</v>
      </c>
      <c r="D177" s="36" t="s">
        <v>196</v>
      </c>
      <c r="E177" s="36" t="s">
        <v>533</v>
      </c>
      <c r="F177" s="36" t="s">
        <v>723</v>
      </c>
      <c r="G177" s="36" t="s">
        <v>542</v>
      </c>
      <c r="H177" s="36" t="s">
        <v>535</v>
      </c>
      <c r="I177" s="37" t="s">
        <v>540</v>
      </c>
      <c r="J177" s="38">
        <v>11534.566666666668</v>
      </c>
      <c r="K177" s="39">
        <v>28.256334017911723</v>
      </c>
      <c r="L177" s="39">
        <v>36.131600791524555</v>
      </c>
      <c r="M177" s="38" t="s">
        <v>539</v>
      </c>
      <c r="N177" s="38">
        <v>8993.3700000000008</v>
      </c>
      <c r="O177" s="38">
        <v>8473.1</v>
      </c>
      <c r="P177" s="39" t="s">
        <v>540</v>
      </c>
      <c r="Q177" s="39" t="s">
        <v>540</v>
      </c>
      <c r="R177" s="40"/>
      <c r="S177" s="38">
        <v>1170.22</v>
      </c>
      <c r="T177" s="39">
        <v>10.145331279603049</v>
      </c>
      <c r="U177" s="39">
        <v>89.762991737733159</v>
      </c>
      <c r="V177" s="38" t="s">
        <v>539</v>
      </c>
      <c r="W177" s="38">
        <v>831.67999999999904</v>
      </c>
      <c r="X177" s="38">
        <v>545.29999999999995</v>
      </c>
      <c r="Y177" s="39" t="s">
        <v>540</v>
      </c>
      <c r="Z177" s="39" t="s">
        <v>540</v>
      </c>
      <c r="AA177" s="41" t="s">
        <v>540</v>
      </c>
      <c r="AB177" s="42" t="s">
        <v>540</v>
      </c>
      <c r="AC177" s="40"/>
      <c r="AD177" s="43">
        <v>637.5</v>
      </c>
      <c r="AE177" s="39">
        <v>26.475548060708263</v>
      </c>
      <c r="AF177" s="39">
        <v>66.671024079060885</v>
      </c>
      <c r="AG177" s="43" t="s">
        <v>539</v>
      </c>
      <c r="AH177" s="43">
        <v>504.05</v>
      </c>
      <c r="AI177" s="43">
        <v>382.49</v>
      </c>
      <c r="AJ177" s="39" t="s">
        <v>539</v>
      </c>
      <c r="AK177" s="39" t="s">
        <v>539</v>
      </c>
      <c r="AL177" s="44"/>
      <c r="AM177" s="43">
        <v>637.5</v>
      </c>
      <c r="AN177" s="39">
        <v>26.475548060708263</v>
      </c>
      <c r="AO177" s="39">
        <v>66.671024079060885</v>
      </c>
      <c r="AP177" s="43" t="s">
        <v>539</v>
      </c>
      <c r="AQ177" s="43">
        <v>504.05</v>
      </c>
      <c r="AR177" s="43">
        <v>382.49</v>
      </c>
      <c r="AS177" s="39" t="s">
        <v>539</v>
      </c>
      <c r="AT177" s="39" t="s">
        <v>539</v>
      </c>
      <c r="AU177" s="1">
        <v>101832.942816975</v>
      </c>
    </row>
    <row r="178" spans="2:47" ht="18" customHeight="1" x14ac:dyDescent="0.25">
      <c r="B178" s="2">
        <f>IF(G178=$B$6,MAX(B$7:B177)+1,IF($B$6="Nifty 500 - All Sector",B177+1,0))</f>
        <v>0</v>
      </c>
      <c r="C178" s="36">
        <v>24610</v>
      </c>
      <c r="D178" s="36" t="s">
        <v>197</v>
      </c>
      <c r="E178" s="36" t="s">
        <v>527</v>
      </c>
      <c r="F178" s="36" t="s">
        <v>724</v>
      </c>
      <c r="G178" s="36" t="s">
        <v>542</v>
      </c>
      <c r="H178" s="36" t="s">
        <v>535</v>
      </c>
      <c r="I178" s="37" t="s">
        <v>540</v>
      </c>
      <c r="J178" s="38">
        <v>10432.26</v>
      </c>
      <c r="K178" s="39">
        <v>2.2939072317793574</v>
      </c>
      <c r="L178" s="39">
        <v>-0.8109303022091563</v>
      </c>
      <c r="M178" s="38" t="s">
        <v>539</v>
      </c>
      <c r="N178" s="38">
        <v>10198.32</v>
      </c>
      <c r="O178" s="38">
        <v>10517.55</v>
      </c>
      <c r="P178" s="39" t="s">
        <v>540</v>
      </c>
      <c r="Q178" s="39" t="s">
        <v>540</v>
      </c>
      <c r="R178" s="40"/>
      <c r="S178" s="38">
        <v>1372.04</v>
      </c>
      <c r="T178" s="39">
        <v>13.15189613755792</v>
      </c>
      <c r="U178" s="39">
        <v>274.93984712756276</v>
      </c>
      <c r="V178" s="38" t="s">
        <v>539</v>
      </c>
      <c r="W178" s="38">
        <v>1060.8800000000001</v>
      </c>
      <c r="X178" s="38">
        <v>1407.94</v>
      </c>
      <c r="Y178" s="39" t="s">
        <v>540</v>
      </c>
      <c r="Z178" s="39" t="s">
        <v>540</v>
      </c>
      <c r="AA178" s="41" t="s">
        <v>540</v>
      </c>
      <c r="AB178" s="42" t="s">
        <v>540</v>
      </c>
      <c r="AC178" s="40"/>
      <c r="AD178" s="43">
        <v>794.92</v>
      </c>
      <c r="AE178" s="39">
        <v>28.640321066769815</v>
      </c>
      <c r="AF178" s="39">
        <v>-3.35554150658951</v>
      </c>
      <c r="AG178" s="43" t="s">
        <v>539</v>
      </c>
      <c r="AH178" s="43">
        <v>617.94000000000199</v>
      </c>
      <c r="AI178" s="43">
        <v>822.52</v>
      </c>
      <c r="AJ178" s="39" t="s">
        <v>539</v>
      </c>
      <c r="AK178" s="39" t="s">
        <v>539</v>
      </c>
      <c r="AL178" s="44"/>
      <c r="AM178" s="43">
        <v>794.92</v>
      </c>
      <c r="AN178" s="39">
        <v>34.506506032250961</v>
      </c>
      <c r="AO178" s="39">
        <v>-4.0866805825359842</v>
      </c>
      <c r="AP178" s="43" t="s">
        <v>539</v>
      </c>
      <c r="AQ178" s="43">
        <v>590.99</v>
      </c>
      <c r="AR178" s="43">
        <v>828.79</v>
      </c>
      <c r="AS178" s="39" t="s">
        <v>539</v>
      </c>
      <c r="AT178" s="39" t="s">
        <v>539</v>
      </c>
      <c r="AU178" s="1">
        <v>64358.315137220001</v>
      </c>
    </row>
    <row r="179" spans="2:47" ht="18" customHeight="1" x14ac:dyDescent="0.25">
      <c r="B179" s="2">
        <f>IF(G179=$B$6,MAX(B$7:B178)+1,IF($B$6="Nifty 500 - All Sector",B178+1,0))</f>
        <v>0</v>
      </c>
      <c r="C179" s="36">
        <v>13872</v>
      </c>
      <c r="D179" s="36" t="s">
        <v>198</v>
      </c>
      <c r="E179" s="36" t="s">
        <v>527</v>
      </c>
      <c r="F179" s="36" t="s">
        <v>725</v>
      </c>
      <c r="G179" s="36" t="s">
        <v>542</v>
      </c>
      <c r="H179" s="36" t="s">
        <v>535</v>
      </c>
      <c r="I179" s="37" t="s">
        <v>540</v>
      </c>
      <c r="J179" s="38">
        <v>6199.3</v>
      </c>
      <c r="K179" s="39">
        <v>63.572510382750139</v>
      </c>
      <c r="L179" s="39">
        <v>46.344860472747264</v>
      </c>
      <c r="M179" s="38" t="s">
        <v>539</v>
      </c>
      <c r="N179" s="38">
        <v>3789.94</v>
      </c>
      <c r="O179" s="38">
        <v>4236.09</v>
      </c>
      <c r="P179" s="39" t="s">
        <v>540</v>
      </c>
      <c r="Q179" s="39" t="s">
        <v>540</v>
      </c>
      <c r="R179" s="40"/>
      <c r="S179" s="38">
        <v>1149.8</v>
      </c>
      <c r="T179" s="39">
        <v>18.54725533527979</v>
      </c>
      <c r="U179" s="39">
        <v>106.62398046909125</v>
      </c>
      <c r="V179" s="38" t="s">
        <v>539</v>
      </c>
      <c r="W179" s="38">
        <v>662.52</v>
      </c>
      <c r="X179" s="38">
        <v>738.49</v>
      </c>
      <c r="Y179" s="39" t="s">
        <v>540</v>
      </c>
      <c r="Z179" s="39" t="s">
        <v>540</v>
      </c>
      <c r="AA179" s="41" t="s">
        <v>540</v>
      </c>
      <c r="AB179" s="42" t="s">
        <v>540</v>
      </c>
      <c r="AC179" s="40"/>
      <c r="AD179" s="43">
        <v>619.25</v>
      </c>
      <c r="AE179" s="39">
        <v>-47.564734373147722</v>
      </c>
      <c r="AF179" s="39">
        <v>39.069798778296814</v>
      </c>
      <c r="AG179" s="43" t="s">
        <v>539</v>
      </c>
      <c r="AH179" s="43">
        <v>1180.98</v>
      </c>
      <c r="AI179" s="43">
        <v>445.28</v>
      </c>
      <c r="AJ179" s="39" t="s">
        <v>539</v>
      </c>
      <c r="AK179" s="39" t="s">
        <v>539</v>
      </c>
      <c r="AL179" s="44"/>
      <c r="AM179" s="43">
        <v>619.25</v>
      </c>
      <c r="AN179" s="39">
        <v>-47.61973236791799</v>
      </c>
      <c r="AO179" s="39">
        <v>39.069798778296814</v>
      </c>
      <c r="AP179" s="43" t="s">
        <v>539</v>
      </c>
      <c r="AQ179" s="43">
        <v>1182.22</v>
      </c>
      <c r="AR179" s="43">
        <v>445.28</v>
      </c>
      <c r="AS179" s="39" t="s">
        <v>539</v>
      </c>
      <c r="AT179" s="39" t="s">
        <v>539</v>
      </c>
      <c r="AU179" s="1">
        <v>67383.464235966996</v>
      </c>
    </row>
    <row r="180" spans="2:47" ht="18" customHeight="1" x14ac:dyDescent="0.25">
      <c r="B180" s="2">
        <f>IF(G180=$B$6,MAX(B$7:B179)+1,IF($B$6="Nifty 500 - All Sector",B179+1,0))</f>
        <v>0</v>
      </c>
      <c r="C180" s="36">
        <v>26721</v>
      </c>
      <c r="D180" s="36" t="s">
        <v>199</v>
      </c>
      <c r="E180" s="36" t="s">
        <v>527</v>
      </c>
      <c r="F180" s="36" t="s">
        <v>726</v>
      </c>
      <c r="G180" s="36" t="s">
        <v>542</v>
      </c>
      <c r="H180" s="36" t="s">
        <v>535</v>
      </c>
      <c r="I180" s="37" t="s">
        <v>540</v>
      </c>
      <c r="J180" s="38">
        <v>7433.7</v>
      </c>
      <c r="K180" s="39">
        <v>15.665766281617199</v>
      </c>
      <c r="L180" s="39">
        <v>58.688514791459426</v>
      </c>
      <c r="M180" s="38" t="s">
        <v>539</v>
      </c>
      <c r="N180" s="38">
        <v>6426.88</v>
      </c>
      <c r="O180" s="38">
        <v>4684.46</v>
      </c>
      <c r="P180" s="39" t="s">
        <v>540</v>
      </c>
      <c r="Q180" s="39" t="s">
        <v>540</v>
      </c>
      <c r="R180" s="40"/>
      <c r="S180" s="38" t="s">
        <v>539</v>
      </c>
      <c r="T180" s="39" t="s">
        <v>540</v>
      </c>
      <c r="U180" s="39" t="s">
        <v>540</v>
      </c>
      <c r="V180" s="38" t="s">
        <v>539</v>
      </c>
      <c r="W180" s="38">
        <v>432.78</v>
      </c>
      <c r="X180" s="38">
        <v>220.72</v>
      </c>
      <c r="Y180" s="39" t="s">
        <v>540</v>
      </c>
      <c r="Z180" s="39" t="s">
        <v>540</v>
      </c>
      <c r="AA180" s="41" t="s">
        <v>540</v>
      </c>
      <c r="AB180" s="42" t="s">
        <v>540</v>
      </c>
      <c r="AC180" s="40"/>
      <c r="AD180" s="43" t="s">
        <v>540</v>
      </c>
      <c r="AE180" s="39" t="s">
        <v>539</v>
      </c>
      <c r="AF180" s="39" t="s">
        <v>539</v>
      </c>
      <c r="AG180" s="43" t="s">
        <v>539</v>
      </c>
      <c r="AH180" s="43">
        <v>406.74</v>
      </c>
      <c r="AI180" s="43">
        <v>267.73</v>
      </c>
      <c r="AJ180" s="39" t="s">
        <v>539</v>
      </c>
      <c r="AK180" s="39" t="s">
        <v>539</v>
      </c>
      <c r="AL180" s="44"/>
      <c r="AM180" s="43" t="s">
        <v>539</v>
      </c>
      <c r="AN180" s="39" t="s">
        <v>539</v>
      </c>
      <c r="AO180" s="39" t="s">
        <v>539</v>
      </c>
      <c r="AP180" s="43" t="s">
        <v>539</v>
      </c>
      <c r="AQ180" s="43">
        <v>459.15</v>
      </c>
      <c r="AR180" s="43">
        <v>322.83</v>
      </c>
      <c r="AS180" s="39" t="s">
        <v>539</v>
      </c>
      <c r="AT180" s="39" t="s">
        <v>539</v>
      </c>
      <c r="AU180" s="1">
        <v>59871.352171500002</v>
      </c>
    </row>
    <row r="181" spans="2:47" ht="18" customHeight="1" x14ac:dyDescent="0.25">
      <c r="B181" s="2">
        <f>IF(G181=$B$6,MAX(B$7:B180)+1,IF($B$6="Nifty 500 - All Sector",B180+1,0))</f>
        <v>0</v>
      </c>
      <c r="C181" s="36">
        <v>12334</v>
      </c>
      <c r="D181" s="36" t="s">
        <v>200</v>
      </c>
      <c r="E181" s="36" t="s">
        <v>527</v>
      </c>
      <c r="F181" s="36" t="s">
        <v>727</v>
      </c>
      <c r="G181" s="36" t="s">
        <v>542</v>
      </c>
      <c r="H181" s="36" t="s">
        <v>535</v>
      </c>
      <c r="I181" s="37" t="s">
        <v>540</v>
      </c>
      <c r="J181" s="38">
        <v>6182.8833333333332</v>
      </c>
      <c r="K181" s="39">
        <v>12.240557189364498</v>
      </c>
      <c r="L181" s="39">
        <v>6.324077592991606</v>
      </c>
      <c r="M181" s="38" t="s">
        <v>539</v>
      </c>
      <c r="N181" s="38">
        <v>5508.6</v>
      </c>
      <c r="O181" s="38">
        <v>5815.13</v>
      </c>
      <c r="P181" s="39" t="s">
        <v>540</v>
      </c>
      <c r="Q181" s="39" t="s">
        <v>540</v>
      </c>
      <c r="R181" s="40"/>
      <c r="S181" s="38">
        <v>505.17142857142863</v>
      </c>
      <c r="T181" s="39">
        <v>8.1704829500491201</v>
      </c>
      <c r="U181" s="39">
        <v>66.058932916541124</v>
      </c>
      <c r="V181" s="38" t="s">
        <v>539</v>
      </c>
      <c r="W181" s="38">
        <v>413.69</v>
      </c>
      <c r="X181" s="38">
        <v>471.79</v>
      </c>
      <c r="Y181" s="39" t="s">
        <v>540</v>
      </c>
      <c r="Z181" s="39" t="s">
        <v>540</v>
      </c>
      <c r="AA181" s="41" t="s">
        <v>540</v>
      </c>
      <c r="AB181" s="42" t="s">
        <v>540</v>
      </c>
      <c r="AC181" s="40"/>
      <c r="AD181" s="43">
        <v>354.35559999999998</v>
      </c>
      <c r="AE181" s="39">
        <v>20.895090580328191</v>
      </c>
      <c r="AF181" s="39">
        <v>14.293510514772279</v>
      </c>
      <c r="AG181" s="43" t="s">
        <v>539</v>
      </c>
      <c r="AH181" s="43">
        <v>293.11</v>
      </c>
      <c r="AI181" s="43">
        <v>310.04000000000002</v>
      </c>
      <c r="AJ181" s="39" t="s">
        <v>539</v>
      </c>
      <c r="AK181" s="39" t="s">
        <v>539</v>
      </c>
      <c r="AL181" s="44"/>
      <c r="AM181" s="43">
        <v>354.35559999999998</v>
      </c>
      <c r="AN181" s="39">
        <v>20.895090580328191</v>
      </c>
      <c r="AO181" s="39">
        <v>14.293510514772279</v>
      </c>
      <c r="AP181" s="43" t="s">
        <v>539</v>
      </c>
      <c r="AQ181" s="43">
        <v>293.11</v>
      </c>
      <c r="AR181" s="43">
        <v>310.04000000000002</v>
      </c>
      <c r="AS181" s="39" t="s">
        <v>539</v>
      </c>
      <c r="AT181" s="39" t="s">
        <v>539</v>
      </c>
      <c r="AU181" s="1">
        <v>56660.362416324999</v>
      </c>
    </row>
    <row r="182" spans="2:47" ht="18" customHeight="1" x14ac:dyDescent="0.25">
      <c r="B182" s="2">
        <f>IF(G182=$B$6,MAX(B$7:B181)+1,IF($B$6="Nifty 500 - All Sector",B181+1,0))</f>
        <v>0</v>
      </c>
      <c r="C182" s="36">
        <v>40963</v>
      </c>
      <c r="D182" s="36" t="s">
        <v>201</v>
      </c>
      <c r="E182" s="36" t="s">
        <v>533</v>
      </c>
      <c r="F182" s="36" t="s">
        <v>728</v>
      </c>
      <c r="G182" s="36" t="s">
        <v>542</v>
      </c>
      <c r="H182" s="36" t="s">
        <v>535</v>
      </c>
      <c r="I182" s="37" t="s">
        <v>540</v>
      </c>
      <c r="J182" s="38">
        <v>2153.9749999999999</v>
      </c>
      <c r="K182" s="39">
        <v>10.051092093498525</v>
      </c>
      <c r="L182" s="39">
        <v>8.1543708356934808E-2</v>
      </c>
      <c r="M182" s="38" t="s">
        <v>539</v>
      </c>
      <c r="N182" s="38">
        <v>1957.25</v>
      </c>
      <c r="O182" s="38">
        <v>2152.2200000000003</v>
      </c>
      <c r="P182" s="39" t="s">
        <v>540</v>
      </c>
      <c r="Q182" s="39" t="s">
        <v>540</v>
      </c>
      <c r="R182" s="40"/>
      <c r="S182" s="38">
        <v>279.10000000000002</v>
      </c>
      <c r="T182" s="39">
        <v>12.957439153193514</v>
      </c>
      <c r="U182" s="39">
        <v>130.89527564634071</v>
      </c>
      <c r="V182" s="38" t="s">
        <v>539</v>
      </c>
      <c r="W182" s="38">
        <v>227.99</v>
      </c>
      <c r="X182" s="38">
        <v>309.41000000000003</v>
      </c>
      <c r="Y182" s="39" t="s">
        <v>540</v>
      </c>
      <c r="Z182" s="39" t="s">
        <v>540</v>
      </c>
      <c r="AA182" s="41" t="s">
        <v>540</v>
      </c>
      <c r="AB182" s="42" t="s">
        <v>540</v>
      </c>
      <c r="AC182" s="40"/>
      <c r="AD182" s="43">
        <v>308</v>
      </c>
      <c r="AE182" s="39">
        <v>-62.145885823142621</v>
      </c>
      <c r="AF182" s="39">
        <v>62.971585798190375</v>
      </c>
      <c r="AG182" s="43" t="s">
        <v>539</v>
      </c>
      <c r="AH182" s="43">
        <v>813.65</v>
      </c>
      <c r="AI182" s="43">
        <v>188.99</v>
      </c>
      <c r="AJ182" s="39" t="s">
        <v>539</v>
      </c>
      <c r="AK182" s="39" t="s">
        <v>539</v>
      </c>
      <c r="AL182" s="44"/>
      <c r="AM182" s="43">
        <v>308</v>
      </c>
      <c r="AN182" s="39">
        <v>-62.145885823142621</v>
      </c>
      <c r="AO182" s="39">
        <v>62.971585798190375</v>
      </c>
      <c r="AP182" s="43" t="s">
        <v>539</v>
      </c>
      <c r="AQ182" s="43">
        <v>813.65</v>
      </c>
      <c r="AR182" s="43">
        <v>188.99</v>
      </c>
      <c r="AS182" s="39" t="s">
        <v>539</v>
      </c>
      <c r="AT182" s="39" t="s">
        <v>539</v>
      </c>
      <c r="AU182" s="1">
        <v>53265.749548799999</v>
      </c>
    </row>
    <row r="183" spans="2:47" ht="18" customHeight="1" x14ac:dyDescent="0.25">
      <c r="B183" s="2">
        <f>IF(G183=$B$6,MAX(B$7:B182)+1,IF($B$6="Nifty 500 - All Sector",B182+1,0))</f>
        <v>0</v>
      </c>
      <c r="C183" s="36">
        <v>17540</v>
      </c>
      <c r="D183" s="36" t="s">
        <v>202</v>
      </c>
      <c r="E183" s="36" t="s">
        <v>533</v>
      </c>
      <c r="F183" s="36" t="s">
        <v>729</v>
      </c>
      <c r="G183" s="36" t="s">
        <v>542</v>
      </c>
      <c r="H183" s="36" t="s">
        <v>535</v>
      </c>
      <c r="I183" s="37" t="s">
        <v>540</v>
      </c>
      <c r="J183" s="38">
        <v>1776.9</v>
      </c>
      <c r="K183" s="39">
        <v>-4.333201836603795E-3</v>
      </c>
      <c r="L183" s="39">
        <v>213.59032597934106</v>
      </c>
      <c r="M183" s="38" t="s">
        <v>539</v>
      </c>
      <c r="N183" s="38">
        <v>1776.9770000000001</v>
      </c>
      <c r="O183" s="38">
        <v>566.63099999999997</v>
      </c>
      <c r="P183" s="39" t="s">
        <v>540</v>
      </c>
      <c r="Q183" s="39" t="s">
        <v>540</v>
      </c>
      <c r="R183" s="40"/>
      <c r="S183" s="38">
        <v>409.28333333333336</v>
      </c>
      <c r="T183" s="39">
        <v>23.033560320408203</v>
      </c>
      <c r="U183" s="39">
        <v>620.88068205035927</v>
      </c>
      <c r="V183" s="38" t="s">
        <v>539</v>
      </c>
      <c r="W183" s="38">
        <v>298.97199999999998</v>
      </c>
      <c r="X183" s="38">
        <v>25.9849999999999</v>
      </c>
      <c r="Y183" s="39" t="s">
        <v>540</v>
      </c>
      <c r="Z183" s="39" t="s">
        <v>540</v>
      </c>
      <c r="AA183" s="41" t="s">
        <v>540</v>
      </c>
      <c r="AB183" s="42" t="s">
        <v>540</v>
      </c>
      <c r="AC183" s="40"/>
      <c r="AD183" s="43">
        <v>342.33330000000001</v>
      </c>
      <c r="AE183" s="39">
        <v>25.502087831917606</v>
      </c>
      <c r="AF183" s="39">
        <v>369.44489392921361</v>
      </c>
      <c r="AG183" s="43" t="s">
        <v>539</v>
      </c>
      <c r="AH183" s="43">
        <v>272.77100000000002</v>
      </c>
      <c r="AI183" s="43">
        <v>72.922999999999902</v>
      </c>
      <c r="AJ183" s="39" t="s">
        <v>539</v>
      </c>
      <c r="AK183" s="39" t="s">
        <v>539</v>
      </c>
      <c r="AL183" s="44"/>
      <c r="AM183" s="43">
        <v>342.33330000000001</v>
      </c>
      <c r="AN183" s="39">
        <v>25.502087831917606</v>
      </c>
      <c r="AO183" s="39">
        <v>369.44489392921361</v>
      </c>
      <c r="AP183" s="43" t="s">
        <v>539</v>
      </c>
      <c r="AQ183" s="43">
        <v>272.77100000000002</v>
      </c>
      <c r="AR183" s="43">
        <v>72.922999999999902</v>
      </c>
      <c r="AS183" s="39" t="s">
        <v>539</v>
      </c>
      <c r="AT183" s="39" t="s">
        <v>539</v>
      </c>
      <c r="AU183" s="1">
        <v>49707.707812499997</v>
      </c>
    </row>
    <row r="184" spans="2:47" ht="18" customHeight="1" x14ac:dyDescent="0.25">
      <c r="B184" s="2">
        <f>IF(G184=$B$6,MAX(B$7:B183)+1,IF($B$6="Nifty 500 - All Sector",B183+1,0))</f>
        <v>0</v>
      </c>
      <c r="C184" s="36">
        <v>76751</v>
      </c>
      <c r="D184" s="36" t="s">
        <v>203</v>
      </c>
      <c r="E184" s="36" t="s">
        <v>527</v>
      </c>
      <c r="F184" s="36" t="s">
        <v>730</v>
      </c>
      <c r="G184" s="36" t="s">
        <v>542</v>
      </c>
      <c r="H184" s="36" t="s">
        <v>535</v>
      </c>
      <c r="I184" s="37" t="s">
        <v>540</v>
      </c>
      <c r="J184" s="38">
        <v>2176.7857142857147</v>
      </c>
      <c r="K184" s="39">
        <v>34.300265868253987</v>
      </c>
      <c r="L184" s="39">
        <v>12.410337309948162</v>
      </c>
      <c r="M184" s="38" t="s">
        <v>539</v>
      </c>
      <c r="N184" s="38">
        <v>1620.835</v>
      </c>
      <c r="O184" s="38">
        <v>1936.4639999999999</v>
      </c>
      <c r="P184" s="39" t="s">
        <v>540</v>
      </c>
      <c r="Q184" s="39" t="s">
        <v>540</v>
      </c>
      <c r="R184" s="40"/>
      <c r="S184" s="38">
        <v>642.48571428571427</v>
      </c>
      <c r="T184" s="39">
        <v>29.515340442986048</v>
      </c>
      <c r="U184" s="39">
        <v>-309.24203716557946</v>
      </c>
      <c r="V184" s="38" t="s">
        <v>539</v>
      </c>
      <c r="W184" s="38">
        <v>528.51800000000003</v>
      </c>
      <c r="X184" s="38">
        <v>593.23</v>
      </c>
      <c r="Y184" s="39" t="s">
        <v>540</v>
      </c>
      <c r="Z184" s="39" t="s">
        <v>540</v>
      </c>
      <c r="AA184" s="41" t="s">
        <v>540</v>
      </c>
      <c r="AB184" s="42" t="s">
        <v>540</v>
      </c>
      <c r="AC184" s="40"/>
      <c r="AD184" s="43">
        <v>403.38569999999999</v>
      </c>
      <c r="AE184" s="39">
        <v>45.137749025844357</v>
      </c>
      <c r="AF184" s="39">
        <v>2.9754422689096893</v>
      </c>
      <c r="AG184" s="43" t="s">
        <v>539</v>
      </c>
      <c r="AH184" s="43">
        <v>277.93299999999999</v>
      </c>
      <c r="AI184" s="43">
        <v>391.73</v>
      </c>
      <c r="AJ184" s="39" t="s">
        <v>539</v>
      </c>
      <c r="AK184" s="39" t="s">
        <v>539</v>
      </c>
      <c r="AL184" s="44"/>
      <c r="AM184" s="43">
        <v>403.38569999999999</v>
      </c>
      <c r="AN184" s="39">
        <v>45.204621947049176</v>
      </c>
      <c r="AO184" s="39">
        <v>2.980437107969891</v>
      </c>
      <c r="AP184" s="43" t="s">
        <v>539</v>
      </c>
      <c r="AQ184" s="43">
        <v>277.80500000000001</v>
      </c>
      <c r="AR184" s="43">
        <v>391.71100000000001</v>
      </c>
      <c r="AS184" s="39" t="s">
        <v>539</v>
      </c>
      <c r="AT184" s="39" t="s">
        <v>539</v>
      </c>
      <c r="AU184" s="1">
        <v>45242.812504000001</v>
      </c>
    </row>
    <row r="185" spans="2:47" ht="18" customHeight="1" x14ac:dyDescent="0.25">
      <c r="B185" s="2">
        <f>IF(G185=$B$6,MAX(B$7:B184)+1,IF($B$6="Nifty 500 - All Sector",B184+1,0))</f>
        <v>0</v>
      </c>
      <c r="C185" s="36">
        <v>2035</v>
      </c>
      <c r="D185" s="36" t="s">
        <v>204</v>
      </c>
      <c r="E185" s="36" t="s">
        <v>527</v>
      </c>
      <c r="F185" s="36" t="s">
        <v>731</v>
      </c>
      <c r="G185" s="36" t="s">
        <v>542</v>
      </c>
      <c r="H185" s="36" t="s">
        <v>535</v>
      </c>
      <c r="I185" s="37" t="s">
        <v>540</v>
      </c>
      <c r="J185" s="38">
        <v>5932.95</v>
      </c>
      <c r="K185" s="39">
        <v>13.88144559442277</v>
      </c>
      <c r="L185" s="39">
        <v>8.2708454613639848</v>
      </c>
      <c r="M185" s="38" t="s">
        <v>539</v>
      </c>
      <c r="N185" s="38">
        <v>5209.76</v>
      </c>
      <c r="O185" s="38">
        <v>5479.73</v>
      </c>
      <c r="P185" s="39" t="s">
        <v>540</v>
      </c>
      <c r="Q185" s="39" t="s">
        <v>540</v>
      </c>
      <c r="R185" s="40"/>
      <c r="S185" s="38">
        <v>436.05</v>
      </c>
      <c r="T185" s="39">
        <v>7.3496321391550588</v>
      </c>
      <c r="U185" s="39">
        <v>-144.59745682556485</v>
      </c>
      <c r="V185" s="38" t="s">
        <v>539</v>
      </c>
      <c r="W185" s="38">
        <v>458.23</v>
      </c>
      <c r="X185" s="38">
        <v>444.43</v>
      </c>
      <c r="Y185" s="39" t="s">
        <v>540</v>
      </c>
      <c r="Z185" s="39" t="s">
        <v>540</v>
      </c>
      <c r="AA185" s="41" t="s">
        <v>540</v>
      </c>
      <c r="AB185" s="42" t="s">
        <v>540</v>
      </c>
      <c r="AC185" s="40"/>
      <c r="AD185" s="43">
        <v>247.5</v>
      </c>
      <c r="AE185" s="39">
        <v>-1.0118785745710568</v>
      </c>
      <c r="AF185" s="39">
        <v>18.455058868575279</v>
      </c>
      <c r="AG185" s="43" t="s">
        <v>539</v>
      </c>
      <c r="AH185" s="43">
        <v>250.03</v>
      </c>
      <c r="AI185" s="43">
        <v>208.939999999999</v>
      </c>
      <c r="AJ185" s="39" t="s">
        <v>539</v>
      </c>
      <c r="AK185" s="39" t="s">
        <v>539</v>
      </c>
      <c r="AL185" s="44"/>
      <c r="AM185" s="43">
        <v>247.5</v>
      </c>
      <c r="AN185" s="39">
        <v>-0.98811857422890226</v>
      </c>
      <c r="AO185" s="39">
        <v>18.460728473651457</v>
      </c>
      <c r="AP185" s="43" t="s">
        <v>539</v>
      </c>
      <c r="AQ185" s="43">
        <v>249.97</v>
      </c>
      <c r="AR185" s="43">
        <v>208.93</v>
      </c>
      <c r="AS185" s="39" t="s">
        <v>539</v>
      </c>
      <c r="AT185" s="39" t="s">
        <v>539</v>
      </c>
      <c r="AU185" s="1">
        <v>45033.501312799999</v>
      </c>
    </row>
    <row r="186" spans="2:47" ht="18" customHeight="1" x14ac:dyDescent="0.25">
      <c r="B186" s="2">
        <f>IF(G186=$B$6,MAX(B$7:B185)+1,IF($B$6="Nifty 500 - All Sector",B185+1,0))</f>
        <v>0</v>
      </c>
      <c r="C186" s="36">
        <v>4679</v>
      </c>
      <c r="D186" s="36" t="s">
        <v>205</v>
      </c>
      <c r="E186" s="36" t="s">
        <v>527</v>
      </c>
      <c r="F186" s="36" t="s">
        <v>732</v>
      </c>
      <c r="G186" s="36" t="s">
        <v>542</v>
      </c>
      <c r="H186" s="36" t="s">
        <v>535</v>
      </c>
      <c r="I186" s="37" t="s">
        <v>540</v>
      </c>
      <c r="J186" s="38">
        <v>3472.3</v>
      </c>
      <c r="K186" s="39">
        <v>19.127017127832289</v>
      </c>
      <c r="L186" s="39">
        <v>17.517693819753188</v>
      </c>
      <c r="M186" s="38" t="s">
        <v>539</v>
      </c>
      <c r="N186" s="38">
        <v>2914.788</v>
      </c>
      <c r="O186" s="38">
        <v>2954.7040000000002</v>
      </c>
      <c r="P186" s="39" t="s">
        <v>540</v>
      </c>
      <c r="Q186" s="39" t="s">
        <v>540</v>
      </c>
      <c r="R186" s="40"/>
      <c r="S186" s="38">
        <v>357.32857142857142</v>
      </c>
      <c r="T186" s="39">
        <v>10.290832342498385</v>
      </c>
      <c r="U186" s="39">
        <v>-4.5253849704957716</v>
      </c>
      <c r="V186" s="38" t="s">
        <v>539</v>
      </c>
      <c r="W186" s="38">
        <v>301.27499999999998</v>
      </c>
      <c r="X186" s="38">
        <v>320.09300000000002</v>
      </c>
      <c r="Y186" s="39" t="s">
        <v>540</v>
      </c>
      <c r="Z186" s="39" t="s">
        <v>540</v>
      </c>
      <c r="AA186" s="41" t="s">
        <v>540</v>
      </c>
      <c r="AB186" s="42" t="s">
        <v>540</v>
      </c>
      <c r="AC186" s="40"/>
      <c r="AD186" s="43">
        <v>251.27500000000001</v>
      </c>
      <c r="AE186" s="39">
        <v>10.914684746720349</v>
      </c>
      <c r="AF186" s="39">
        <v>6.9888146605864732</v>
      </c>
      <c r="AG186" s="43" t="s">
        <v>539</v>
      </c>
      <c r="AH186" s="43">
        <v>226.548</v>
      </c>
      <c r="AI186" s="43">
        <v>234.86099999999999</v>
      </c>
      <c r="AJ186" s="39" t="s">
        <v>539</v>
      </c>
      <c r="AK186" s="39" t="s">
        <v>539</v>
      </c>
      <c r="AL186" s="44"/>
      <c r="AM186" s="43">
        <v>251.27500000000001</v>
      </c>
      <c r="AN186" s="39">
        <v>10.914684746720349</v>
      </c>
      <c r="AO186" s="39">
        <v>6.9888146605864732</v>
      </c>
      <c r="AP186" s="43" t="s">
        <v>539</v>
      </c>
      <c r="AQ186" s="43">
        <v>226.548</v>
      </c>
      <c r="AR186" s="43">
        <v>234.86099999999999</v>
      </c>
      <c r="AS186" s="39" t="s">
        <v>539</v>
      </c>
      <c r="AT186" s="39" t="s">
        <v>539</v>
      </c>
      <c r="AU186" s="1">
        <v>43930.863417375003</v>
      </c>
    </row>
    <row r="187" spans="2:47" ht="18" customHeight="1" x14ac:dyDescent="0.25">
      <c r="B187" s="2">
        <f>IF(G187=$B$6,MAX(B$7:B186)+1,IF($B$6="Nifty 500 - All Sector",B186+1,0))</f>
        <v>0</v>
      </c>
      <c r="C187" s="36">
        <v>4767</v>
      </c>
      <c r="D187" s="36" t="s">
        <v>206</v>
      </c>
      <c r="E187" s="36" t="s">
        <v>527</v>
      </c>
      <c r="F187" s="36" t="s">
        <v>733</v>
      </c>
      <c r="G187" s="36" t="s">
        <v>542</v>
      </c>
      <c r="H187" s="36" t="s">
        <v>535</v>
      </c>
      <c r="I187" s="37" t="s">
        <v>540</v>
      </c>
      <c r="J187" s="38">
        <v>3315.416666666667</v>
      </c>
      <c r="K187" s="39">
        <v>7.471374282938914</v>
      </c>
      <c r="L187" s="39">
        <v>25.837546368692486</v>
      </c>
      <c r="M187" s="38" t="s">
        <v>539</v>
      </c>
      <c r="N187" s="38">
        <v>3084.93</v>
      </c>
      <c r="O187" s="38">
        <v>2634.68</v>
      </c>
      <c r="P187" s="39" t="s">
        <v>540</v>
      </c>
      <c r="Q187" s="39" t="s">
        <v>540</v>
      </c>
      <c r="R187" s="40"/>
      <c r="S187" s="38">
        <v>318.89999999999998</v>
      </c>
      <c r="T187" s="39">
        <v>9.6187005152695715</v>
      </c>
      <c r="U187" s="39">
        <v>-9.5296236682662183</v>
      </c>
      <c r="V187" s="38" t="s">
        <v>539</v>
      </c>
      <c r="W187" s="38">
        <v>299.67</v>
      </c>
      <c r="X187" s="38">
        <v>254.82</v>
      </c>
      <c r="Y187" s="39" t="s">
        <v>540</v>
      </c>
      <c r="Z187" s="39" t="s">
        <v>540</v>
      </c>
      <c r="AA187" s="41" t="s">
        <v>540</v>
      </c>
      <c r="AB187" s="42" t="s">
        <v>540</v>
      </c>
      <c r="AC187" s="40"/>
      <c r="AD187" s="43">
        <v>196.09</v>
      </c>
      <c r="AE187" s="39">
        <v>-4.2716266354227646</v>
      </c>
      <c r="AF187" s="39">
        <v>-4.4023010920436807</v>
      </c>
      <c r="AG187" s="43" t="s">
        <v>539</v>
      </c>
      <c r="AH187" s="43">
        <v>204.84</v>
      </c>
      <c r="AI187" s="43">
        <v>205.12</v>
      </c>
      <c r="AJ187" s="39" t="s">
        <v>539</v>
      </c>
      <c r="AK187" s="39" t="s">
        <v>539</v>
      </c>
      <c r="AL187" s="44"/>
      <c r="AM187" s="43">
        <v>196.09</v>
      </c>
      <c r="AN187" s="39">
        <v>-4.6857531716327117</v>
      </c>
      <c r="AO187" s="39">
        <v>-3.9621902243118789</v>
      </c>
      <c r="AP187" s="43" t="s">
        <v>539</v>
      </c>
      <c r="AQ187" s="43">
        <v>205.73</v>
      </c>
      <c r="AR187" s="43">
        <v>204.18</v>
      </c>
      <c r="AS187" s="39" t="s">
        <v>539</v>
      </c>
      <c r="AT187" s="39" t="s">
        <v>539</v>
      </c>
      <c r="AU187" s="1">
        <v>48667.007609</v>
      </c>
    </row>
    <row r="188" spans="2:47" ht="18" customHeight="1" x14ac:dyDescent="0.25">
      <c r="B188" s="2">
        <f>IF(G188=$B$6,MAX(B$7:B187)+1,IF($B$6="Nifty 500 - All Sector",B187+1,0))</f>
        <v>0</v>
      </c>
      <c r="C188" s="36">
        <v>5762</v>
      </c>
      <c r="D188" s="36" t="s">
        <v>207</v>
      </c>
      <c r="E188" s="36" t="s">
        <v>533</v>
      </c>
      <c r="F188" s="36" t="s">
        <v>734</v>
      </c>
      <c r="G188" s="36" t="s">
        <v>542</v>
      </c>
      <c r="H188" s="36" t="s">
        <v>535</v>
      </c>
      <c r="I188" s="37" t="s">
        <v>540</v>
      </c>
      <c r="J188" s="38">
        <v>1651.1</v>
      </c>
      <c r="K188" s="39">
        <v>-2.1197539874173721E-3</v>
      </c>
      <c r="L188" s="39">
        <v>41.68008155335805</v>
      </c>
      <c r="M188" s="38" t="s">
        <v>539</v>
      </c>
      <c r="N188" s="38">
        <v>1651.135</v>
      </c>
      <c r="O188" s="38">
        <v>1165.3720000000001</v>
      </c>
      <c r="P188" s="39" t="s">
        <v>540</v>
      </c>
      <c r="Q188" s="39" t="s">
        <v>540</v>
      </c>
      <c r="R188" s="40"/>
      <c r="S188" s="38">
        <v>253.4</v>
      </c>
      <c r="T188" s="39">
        <v>15.34734419477924</v>
      </c>
      <c r="U188" s="39">
        <v>-3.4088245551266994E-2</v>
      </c>
      <c r="V188" s="38" t="s">
        <v>539</v>
      </c>
      <c r="W188" s="38">
        <v>253.411</v>
      </c>
      <c r="X188" s="38">
        <v>166.33</v>
      </c>
      <c r="Y188" s="39" t="s">
        <v>540</v>
      </c>
      <c r="Z188" s="39" t="s">
        <v>540</v>
      </c>
      <c r="AA188" s="41" t="s">
        <v>540</v>
      </c>
      <c r="AB188" s="42" t="s">
        <v>540</v>
      </c>
      <c r="AC188" s="40"/>
      <c r="AD188" s="43">
        <v>284.7</v>
      </c>
      <c r="AE188" s="39">
        <v>3.5124816033516026E-4</v>
      </c>
      <c r="AF188" s="39">
        <v>106.77333372068532</v>
      </c>
      <c r="AG188" s="43" t="s">
        <v>539</v>
      </c>
      <c r="AH188" s="43">
        <v>284.69900000000001</v>
      </c>
      <c r="AI188" s="43">
        <v>137.68700000000001</v>
      </c>
      <c r="AJ188" s="39" t="s">
        <v>539</v>
      </c>
      <c r="AK188" s="39" t="s">
        <v>539</v>
      </c>
      <c r="AL188" s="44"/>
      <c r="AM188" s="43">
        <v>284.7</v>
      </c>
      <c r="AN188" s="39">
        <v>3.5124816033516026E-4</v>
      </c>
      <c r="AO188" s="39">
        <v>106.77333372068532</v>
      </c>
      <c r="AP188" s="43" t="s">
        <v>539</v>
      </c>
      <c r="AQ188" s="43">
        <v>284.69900000000001</v>
      </c>
      <c r="AR188" s="43">
        <v>137.68700000000001</v>
      </c>
      <c r="AS188" s="39" t="s">
        <v>539</v>
      </c>
      <c r="AT188" s="39" t="s">
        <v>539</v>
      </c>
      <c r="AU188" s="1">
        <v>38905.701150300003</v>
      </c>
    </row>
    <row r="189" spans="2:47" ht="18" customHeight="1" x14ac:dyDescent="0.25">
      <c r="B189" s="2">
        <f>IF(G189=$B$6,MAX(B$7:B188)+1,IF($B$6="Nifty 500 - All Sector",B188+1,0))</f>
        <v>0</v>
      </c>
      <c r="C189" s="36">
        <v>22825</v>
      </c>
      <c r="D189" s="36" t="s">
        <v>208</v>
      </c>
      <c r="E189" s="36" t="s">
        <v>527</v>
      </c>
      <c r="F189" s="36" t="s">
        <v>735</v>
      </c>
      <c r="G189" s="36" t="s">
        <v>542</v>
      </c>
      <c r="H189" s="36" t="s">
        <v>535</v>
      </c>
      <c r="I189" s="37" t="s">
        <v>540</v>
      </c>
      <c r="J189" s="38">
        <v>1159.6714285714284</v>
      </c>
      <c r="K189" s="39">
        <v>0.22716775188376115</v>
      </c>
      <c r="L189" s="39">
        <v>8.6966418753822605</v>
      </c>
      <c r="M189" s="38" t="s">
        <v>539</v>
      </c>
      <c r="N189" s="38">
        <v>1157.0429999999999</v>
      </c>
      <c r="O189" s="38">
        <v>1066.8880000000001</v>
      </c>
      <c r="P189" s="39" t="s">
        <v>540</v>
      </c>
      <c r="Q189" s="39" t="s">
        <v>540</v>
      </c>
      <c r="R189" s="40"/>
      <c r="S189" s="38">
        <v>307.1571428571429</v>
      </c>
      <c r="T189" s="39">
        <v>26.48656639195832</v>
      </c>
      <c r="U189" s="39">
        <v>41.830445182299059</v>
      </c>
      <c r="V189" s="38" t="s">
        <v>539</v>
      </c>
      <c r="W189" s="38">
        <v>301.62099999999998</v>
      </c>
      <c r="X189" s="38">
        <v>290.43700000000001</v>
      </c>
      <c r="Y189" s="39" t="s">
        <v>540</v>
      </c>
      <c r="Z189" s="39" t="s">
        <v>540</v>
      </c>
      <c r="AA189" s="41" t="s">
        <v>540</v>
      </c>
      <c r="AB189" s="42" t="s">
        <v>540</v>
      </c>
      <c r="AC189" s="40"/>
      <c r="AD189" s="43">
        <v>285.38569999999999</v>
      </c>
      <c r="AE189" s="39">
        <v>2.052487788132118</v>
      </c>
      <c r="AF189" s="39">
        <v>-2.647911635078537</v>
      </c>
      <c r="AG189" s="43" t="s">
        <v>539</v>
      </c>
      <c r="AH189" s="43">
        <v>279.64600000000002</v>
      </c>
      <c r="AI189" s="43">
        <v>293.14800000000002</v>
      </c>
      <c r="AJ189" s="39" t="s">
        <v>539</v>
      </c>
      <c r="AK189" s="39" t="s">
        <v>539</v>
      </c>
      <c r="AL189" s="44"/>
      <c r="AM189" s="43">
        <v>285.38569999999999</v>
      </c>
      <c r="AN189" s="39">
        <v>5.8095505224020627E-2</v>
      </c>
      <c r="AO189" s="39">
        <v>-3.0688368017227075</v>
      </c>
      <c r="AP189" s="43" t="s">
        <v>539</v>
      </c>
      <c r="AQ189" s="43">
        <v>285.22000000000003</v>
      </c>
      <c r="AR189" s="43">
        <v>294.42099999999999</v>
      </c>
      <c r="AS189" s="39" t="s">
        <v>539</v>
      </c>
      <c r="AT189" s="39" t="s">
        <v>539</v>
      </c>
      <c r="AU189" s="1">
        <v>36506.462142149998</v>
      </c>
    </row>
    <row r="190" spans="2:47" ht="18" customHeight="1" x14ac:dyDescent="0.25">
      <c r="B190" s="2">
        <f>IF(G190=$B$6,MAX(B$7:B189)+1,IF($B$6="Nifty 500 - All Sector",B189+1,0))</f>
        <v>0</v>
      </c>
      <c r="C190" s="36">
        <v>2334</v>
      </c>
      <c r="D190" s="36" t="s">
        <v>209</v>
      </c>
      <c r="E190" s="36" t="s">
        <v>527</v>
      </c>
      <c r="F190" s="36" t="s">
        <v>736</v>
      </c>
      <c r="G190" s="36" t="s">
        <v>542</v>
      </c>
      <c r="H190" s="36" t="s">
        <v>529</v>
      </c>
      <c r="I190" s="37" t="s">
        <v>540</v>
      </c>
      <c r="J190" s="38" t="s">
        <v>539</v>
      </c>
      <c r="K190" s="39" t="s">
        <v>540</v>
      </c>
      <c r="L190" s="39" t="s">
        <v>540</v>
      </c>
      <c r="M190" s="38" t="s">
        <v>539</v>
      </c>
      <c r="N190" s="38">
        <v>1045.7</v>
      </c>
      <c r="O190" s="38">
        <v>514.65</v>
      </c>
      <c r="P190" s="39" t="s">
        <v>540</v>
      </c>
      <c r="Q190" s="39" t="s">
        <v>540</v>
      </c>
      <c r="R190" s="40"/>
      <c r="S190" s="38" t="s">
        <v>539</v>
      </c>
      <c r="T190" s="39" t="s">
        <v>540</v>
      </c>
      <c r="U190" s="39" t="s">
        <v>540</v>
      </c>
      <c r="V190" s="38" t="s">
        <v>539</v>
      </c>
      <c r="W190" s="38">
        <v>-28.1799999999999</v>
      </c>
      <c r="X190" s="38">
        <v>25.340000000000099</v>
      </c>
      <c r="Y190" s="39" t="s">
        <v>540</v>
      </c>
      <c r="Z190" s="39" t="s">
        <v>540</v>
      </c>
      <c r="AA190" s="41" t="s">
        <v>540</v>
      </c>
      <c r="AB190" s="42" t="s">
        <v>540</v>
      </c>
      <c r="AC190" s="40"/>
      <c r="AD190" s="43" t="s">
        <v>540</v>
      </c>
      <c r="AE190" s="39" t="s">
        <v>547</v>
      </c>
      <c r="AF190" s="39" t="s">
        <v>547</v>
      </c>
      <c r="AG190" s="43" t="s">
        <v>539</v>
      </c>
      <c r="AH190" s="43">
        <v>-4.8499999999999899</v>
      </c>
      <c r="AI190" s="43">
        <v>-25.589999999999801</v>
      </c>
      <c r="AJ190" s="39" t="s">
        <v>547</v>
      </c>
      <c r="AK190" s="39" t="s">
        <v>547</v>
      </c>
      <c r="AL190" s="44"/>
      <c r="AM190" s="43" t="s">
        <v>539</v>
      </c>
      <c r="AN190" s="39" t="s">
        <v>547</v>
      </c>
      <c r="AO190" s="39" t="s">
        <v>547</v>
      </c>
      <c r="AP190" s="43" t="s">
        <v>539</v>
      </c>
      <c r="AQ190" s="43">
        <v>-4.38</v>
      </c>
      <c r="AR190" s="43">
        <v>-25.33</v>
      </c>
      <c r="AS190" s="39" t="s">
        <v>547</v>
      </c>
      <c r="AT190" s="39" t="s">
        <v>547</v>
      </c>
      <c r="AU190" s="1">
        <v>28038.680850839999</v>
      </c>
    </row>
    <row r="191" spans="2:47" ht="18" customHeight="1" x14ac:dyDescent="0.25">
      <c r="B191" s="2">
        <f>IF(G191=$B$6,MAX(B$7:B190)+1,IF($B$6="Nifty 500 - All Sector",B190+1,0))</f>
        <v>0</v>
      </c>
      <c r="C191" s="36">
        <v>41218</v>
      </c>
      <c r="D191" s="36" t="s">
        <v>210</v>
      </c>
      <c r="E191" s="36" t="s">
        <v>533</v>
      </c>
      <c r="F191" s="36" t="s">
        <v>737</v>
      </c>
      <c r="G191" s="36" t="s">
        <v>542</v>
      </c>
      <c r="H191" s="36" t="s">
        <v>529</v>
      </c>
      <c r="I191" s="37" t="s">
        <v>540</v>
      </c>
      <c r="J191" s="38">
        <v>712.4</v>
      </c>
      <c r="K191" s="39">
        <v>21.385608887525763</v>
      </c>
      <c r="L191" s="39">
        <v>-30.779171565436236</v>
      </c>
      <c r="M191" s="38" t="s">
        <v>539</v>
      </c>
      <c r="N191" s="38">
        <v>586.89</v>
      </c>
      <c r="O191" s="38">
        <v>1029.17</v>
      </c>
      <c r="P191" s="39" t="s">
        <v>540</v>
      </c>
      <c r="Q191" s="39" t="s">
        <v>540</v>
      </c>
      <c r="R191" s="40"/>
      <c r="S191" s="38">
        <v>112.2</v>
      </c>
      <c r="T191" s="39">
        <v>15.74957888826502</v>
      </c>
      <c r="U191" s="39">
        <v>98.020132177046548</v>
      </c>
      <c r="V191" s="38" t="s">
        <v>539</v>
      </c>
      <c r="W191" s="38">
        <v>86.679999999999893</v>
      </c>
      <c r="X191" s="38">
        <v>172.58</v>
      </c>
      <c r="Y191" s="39" t="s">
        <v>540</v>
      </c>
      <c r="Z191" s="39" t="s">
        <v>540</v>
      </c>
      <c r="AA191" s="41" t="s">
        <v>540</v>
      </c>
      <c r="AB191" s="42" t="s">
        <v>540</v>
      </c>
      <c r="AC191" s="40"/>
      <c r="AD191" s="43">
        <v>54.6</v>
      </c>
      <c r="AE191" s="39">
        <v>-1.8311664530301641E-2</v>
      </c>
      <c r="AF191" s="39">
        <v>-43.728743687519319</v>
      </c>
      <c r="AG191" s="43" t="s">
        <v>539</v>
      </c>
      <c r="AH191" s="43">
        <v>54.61</v>
      </c>
      <c r="AI191" s="43">
        <v>97.03</v>
      </c>
      <c r="AJ191" s="39" t="s">
        <v>539</v>
      </c>
      <c r="AK191" s="39" t="s">
        <v>539</v>
      </c>
      <c r="AL191" s="44"/>
      <c r="AM191" s="43">
        <v>54.6</v>
      </c>
      <c r="AN191" s="39">
        <v>-1.8311664530301641E-2</v>
      </c>
      <c r="AO191" s="39">
        <v>-43.728743687519319</v>
      </c>
      <c r="AP191" s="43" t="s">
        <v>539</v>
      </c>
      <c r="AQ191" s="43">
        <v>54.61</v>
      </c>
      <c r="AR191" s="43">
        <v>97.03</v>
      </c>
      <c r="AS191" s="39" t="s">
        <v>539</v>
      </c>
      <c r="AT191" s="39" t="s">
        <v>539</v>
      </c>
      <c r="AU191" s="1">
        <v>23946.269105250001</v>
      </c>
    </row>
    <row r="192" spans="2:47" ht="18" customHeight="1" x14ac:dyDescent="0.25">
      <c r="B192" s="2">
        <f>IF(G192=$B$6,MAX(B$7:B191)+1,IF($B$6="Nifty 500 - All Sector",B191+1,0))</f>
        <v>0</v>
      </c>
      <c r="C192" s="36">
        <v>33444</v>
      </c>
      <c r="D192" s="36" t="s">
        <v>211</v>
      </c>
      <c r="E192" s="36" t="s">
        <v>533</v>
      </c>
      <c r="F192" s="36" t="s">
        <v>738</v>
      </c>
      <c r="G192" s="36" t="s">
        <v>542</v>
      </c>
      <c r="H192" s="36" t="s">
        <v>529</v>
      </c>
      <c r="I192" s="37" t="s">
        <v>540</v>
      </c>
      <c r="J192" s="38">
        <v>1531.8</v>
      </c>
      <c r="K192" s="39">
        <v>8.4483210262872745</v>
      </c>
      <c r="L192" s="39">
        <v>10.950956461274375</v>
      </c>
      <c r="M192" s="38" t="s">
        <v>539</v>
      </c>
      <c r="N192" s="38">
        <v>1412.47</v>
      </c>
      <c r="O192" s="38">
        <v>1380.61</v>
      </c>
      <c r="P192" s="39" t="s">
        <v>540</v>
      </c>
      <c r="Q192" s="39" t="s">
        <v>540</v>
      </c>
      <c r="R192" s="40"/>
      <c r="S192" s="38">
        <v>193.33333333333331</v>
      </c>
      <c r="T192" s="39">
        <v>12.621316969143056</v>
      </c>
      <c r="U192" s="39">
        <v>53.256464165999517</v>
      </c>
      <c r="V192" s="38" t="s">
        <v>539</v>
      </c>
      <c r="W192" s="38">
        <v>170.75</v>
      </c>
      <c r="X192" s="38">
        <v>168.81</v>
      </c>
      <c r="Y192" s="39" t="s">
        <v>540</v>
      </c>
      <c r="Z192" s="39" t="s">
        <v>540</v>
      </c>
      <c r="AA192" s="41" t="s">
        <v>540</v>
      </c>
      <c r="AB192" s="42" t="s">
        <v>540</v>
      </c>
      <c r="AC192" s="40"/>
      <c r="AD192" s="43">
        <v>123.33330000000001</v>
      </c>
      <c r="AE192" s="39">
        <v>1.8189548419053958</v>
      </c>
      <c r="AF192" s="39">
        <v>41.162069360192291</v>
      </c>
      <c r="AG192" s="43" t="s">
        <v>539</v>
      </c>
      <c r="AH192" s="43">
        <v>121.13</v>
      </c>
      <c r="AI192" s="43">
        <v>87.37</v>
      </c>
      <c r="AJ192" s="39" t="s">
        <v>539</v>
      </c>
      <c r="AK192" s="39" t="s">
        <v>539</v>
      </c>
      <c r="AL192" s="44"/>
      <c r="AM192" s="43">
        <v>123.33330000000001</v>
      </c>
      <c r="AN192" s="39">
        <v>1.8189548419053958</v>
      </c>
      <c r="AO192" s="39">
        <v>41.162069360192291</v>
      </c>
      <c r="AP192" s="43" t="s">
        <v>539</v>
      </c>
      <c r="AQ192" s="43">
        <v>121.13</v>
      </c>
      <c r="AR192" s="43">
        <v>87.37</v>
      </c>
      <c r="AS192" s="39" t="s">
        <v>539</v>
      </c>
      <c r="AT192" s="39" t="s">
        <v>539</v>
      </c>
      <c r="AU192" s="1">
        <v>23240.757130965001</v>
      </c>
    </row>
    <row r="193" spans="2:47" ht="18" customHeight="1" x14ac:dyDescent="0.25">
      <c r="B193" s="2">
        <f>IF(G193=$B$6,MAX(B$7:B192)+1,IF($B$6="Nifty 500 - All Sector",B192+1,0))</f>
        <v>0</v>
      </c>
      <c r="C193" s="36">
        <v>4518</v>
      </c>
      <c r="D193" s="36" t="s">
        <v>212</v>
      </c>
      <c r="E193" s="36" t="s">
        <v>533</v>
      </c>
      <c r="F193" s="36" t="s">
        <v>739</v>
      </c>
      <c r="G193" s="36" t="s">
        <v>542</v>
      </c>
      <c r="H193" s="36" t="s">
        <v>529</v>
      </c>
      <c r="I193" s="37" t="s">
        <v>540</v>
      </c>
      <c r="J193" s="38">
        <v>7160.7</v>
      </c>
      <c r="K193" s="39">
        <v>15.417905756630645</v>
      </c>
      <c r="L193" s="39">
        <v>23.725715154572889</v>
      </c>
      <c r="M193" s="38" t="s">
        <v>539</v>
      </c>
      <c r="N193" s="38">
        <v>6204.15</v>
      </c>
      <c r="O193" s="38">
        <v>5787.56</v>
      </c>
      <c r="P193" s="39" t="s">
        <v>540</v>
      </c>
      <c r="Q193" s="39" t="s">
        <v>540</v>
      </c>
      <c r="R193" s="40"/>
      <c r="S193" s="38">
        <v>608.75</v>
      </c>
      <c r="T193" s="39">
        <v>8.5012638429203857</v>
      </c>
      <c r="U193" s="39">
        <v>6.8360060774578457</v>
      </c>
      <c r="V193" s="38" t="s">
        <v>539</v>
      </c>
      <c r="W193" s="38">
        <v>523.18999999999903</v>
      </c>
      <c r="X193" s="38">
        <v>481.28</v>
      </c>
      <c r="Y193" s="39" t="s">
        <v>540</v>
      </c>
      <c r="Z193" s="39" t="s">
        <v>540</v>
      </c>
      <c r="AA193" s="41" t="s">
        <v>540</v>
      </c>
      <c r="AB193" s="42" t="s">
        <v>540</v>
      </c>
      <c r="AC193" s="40"/>
      <c r="AD193" s="43">
        <v>290.55</v>
      </c>
      <c r="AE193" s="39">
        <v>20.240854163218525</v>
      </c>
      <c r="AF193" s="39">
        <v>37.544972543078316</v>
      </c>
      <c r="AG193" s="43" t="s">
        <v>539</v>
      </c>
      <c r="AH193" s="43">
        <v>241.63999999999899</v>
      </c>
      <c r="AI193" s="43">
        <v>211.240000000001</v>
      </c>
      <c r="AJ193" s="39" t="s">
        <v>539</v>
      </c>
      <c r="AK193" s="39" t="s">
        <v>539</v>
      </c>
      <c r="AL193" s="44"/>
      <c r="AM193" s="43">
        <v>290.55</v>
      </c>
      <c r="AN193" s="39">
        <v>20.240854163218525</v>
      </c>
      <c r="AO193" s="39">
        <v>37.544972543078316</v>
      </c>
      <c r="AP193" s="43" t="s">
        <v>539</v>
      </c>
      <c r="AQ193" s="43">
        <v>241.63999999999899</v>
      </c>
      <c r="AR193" s="43">
        <v>211.240000000001</v>
      </c>
      <c r="AS193" s="39" t="s">
        <v>539</v>
      </c>
      <c r="AT193" s="39" t="s">
        <v>539</v>
      </c>
      <c r="AU193" s="1">
        <v>20692.509398819999</v>
      </c>
    </row>
    <row r="194" spans="2:47" ht="18" customHeight="1" x14ac:dyDescent="0.25">
      <c r="B194" s="2">
        <f>IF(G194=$B$6,MAX(B$7:B193)+1,IF($B$6="Nifty 500 - All Sector",B193+1,0))</f>
        <v>0</v>
      </c>
      <c r="C194" s="36">
        <v>39972</v>
      </c>
      <c r="D194" s="36" t="s">
        <v>213</v>
      </c>
      <c r="E194" s="36" t="s">
        <v>533</v>
      </c>
      <c r="F194" s="36" t="s">
        <v>740</v>
      </c>
      <c r="G194" s="36" t="s">
        <v>542</v>
      </c>
      <c r="H194" s="36" t="s">
        <v>529</v>
      </c>
      <c r="I194" s="37" t="s">
        <v>540</v>
      </c>
      <c r="J194" s="38">
        <v>397.58333333333337</v>
      </c>
      <c r="K194" s="39">
        <v>0.3466175344724709</v>
      </c>
      <c r="L194" s="39">
        <v>129.64439053505075</v>
      </c>
      <c r="M194" s="38" t="s">
        <v>539</v>
      </c>
      <c r="N194" s="38">
        <v>396.21</v>
      </c>
      <c r="O194" s="38">
        <v>173.13</v>
      </c>
      <c r="P194" s="39" t="s">
        <v>540</v>
      </c>
      <c r="Q194" s="39" t="s">
        <v>540</v>
      </c>
      <c r="R194" s="40"/>
      <c r="S194" s="38">
        <v>177.42000000000002</v>
      </c>
      <c r="T194" s="39">
        <v>44.624607000628799</v>
      </c>
      <c r="U194" s="39">
        <v>689.46153295452814</v>
      </c>
      <c r="V194" s="38" t="s">
        <v>539</v>
      </c>
      <c r="W194" s="38">
        <v>149.49</v>
      </c>
      <c r="X194" s="38">
        <v>80.59</v>
      </c>
      <c r="Y194" s="39" t="s">
        <v>540</v>
      </c>
      <c r="Z194" s="39" t="s">
        <v>540</v>
      </c>
      <c r="AA194" s="41" t="s">
        <v>540</v>
      </c>
      <c r="AB194" s="42" t="s">
        <v>540</v>
      </c>
      <c r="AC194" s="40"/>
      <c r="AD194" s="43">
        <v>130.52500000000001</v>
      </c>
      <c r="AE194" s="39">
        <v>14.415322580645174</v>
      </c>
      <c r="AF194" s="39">
        <v>123.885077186964</v>
      </c>
      <c r="AG194" s="43" t="s">
        <v>539</v>
      </c>
      <c r="AH194" s="43">
        <v>114.08</v>
      </c>
      <c r="AI194" s="43">
        <v>58.3</v>
      </c>
      <c r="AJ194" s="39" t="s">
        <v>539</v>
      </c>
      <c r="AK194" s="39" t="s">
        <v>539</v>
      </c>
      <c r="AL194" s="44"/>
      <c r="AM194" s="43">
        <v>130.52500000000001</v>
      </c>
      <c r="AN194" s="39">
        <v>14.415322580645174</v>
      </c>
      <c r="AO194" s="39">
        <v>123.885077186964</v>
      </c>
      <c r="AP194" s="43" t="s">
        <v>539</v>
      </c>
      <c r="AQ194" s="43">
        <v>114.08</v>
      </c>
      <c r="AR194" s="43">
        <v>58.3</v>
      </c>
      <c r="AS194" s="39" t="s">
        <v>539</v>
      </c>
      <c r="AT194" s="39" t="s">
        <v>539</v>
      </c>
      <c r="AU194" s="1">
        <v>19318.948022519999</v>
      </c>
    </row>
    <row r="195" spans="2:47" ht="18" customHeight="1" x14ac:dyDescent="0.25">
      <c r="B195" s="2">
        <f>IF(G195=$B$6,MAX(B$7:B194)+1,IF($B$6="Nifty 500 - All Sector",B194+1,0))</f>
        <v>0</v>
      </c>
      <c r="C195" s="36">
        <v>35435</v>
      </c>
      <c r="D195" s="36" t="s">
        <v>214</v>
      </c>
      <c r="E195" s="36" t="s">
        <v>527</v>
      </c>
      <c r="F195" s="36" t="s">
        <v>741</v>
      </c>
      <c r="G195" s="36" t="s">
        <v>542</v>
      </c>
      <c r="H195" s="36" t="s">
        <v>529</v>
      </c>
      <c r="I195" s="37" t="s">
        <v>540</v>
      </c>
      <c r="J195" s="38">
        <v>748.9</v>
      </c>
      <c r="K195" s="39">
        <v>30.0896331295164</v>
      </c>
      <c r="L195" s="39">
        <v>30.039937489147416</v>
      </c>
      <c r="M195" s="38" t="s">
        <v>539</v>
      </c>
      <c r="N195" s="38">
        <v>575.67999999999995</v>
      </c>
      <c r="O195" s="38">
        <v>575.9</v>
      </c>
      <c r="P195" s="39" t="s">
        <v>540</v>
      </c>
      <c r="Q195" s="39" t="s">
        <v>540</v>
      </c>
      <c r="R195" s="40"/>
      <c r="S195" s="38">
        <v>216.5</v>
      </c>
      <c r="T195" s="39">
        <v>28.909066631058888</v>
      </c>
      <c r="U195" s="39">
        <v>-194.83541582685183</v>
      </c>
      <c r="V195" s="38" t="s">
        <v>539</v>
      </c>
      <c r="W195" s="38">
        <v>177.64</v>
      </c>
      <c r="X195" s="38">
        <v>154.57</v>
      </c>
      <c r="Y195" s="39" t="s">
        <v>540</v>
      </c>
      <c r="Z195" s="39" t="s">
        <v>540</v>
      </c>
      <c r="AA195" s="41" t="s">
        <v>540</v>
      </c>
      <c r="AB195" s="42" t="s">
        <v>540</v>
      </c>
      <c r="AC195" s="40"/>
      <c r="AD195" s="43">
        <v>135.5</v>
      </c>
      <c r="AE195" s="39">
        <v>24.346150316600902</v>
      </c>
      <c r="AF195" s="39">
        <v>53.090046322449425</v>
      </c>
      <c r="AG195" s="43" t="s">
        <v>539</v>
      </c>
      <c r="AH195" s="43">
        <v>108.97</v>
      </c>
      <c r="AI195" s="43">
        <v>88.51</v>
      </c>
      <c r="AJ195" s="39" t="s">
        <v>539</v>
      </c>
      <c r="AK195" s="39" t="s">
        <v>539</v>
      </c>
      <c r="AL195" s="44"/>
      <c r="AM195" s="43">
        <v>135.5</v>
      </c>
      <c r="AN195" s="39">
        <v>24.346150316600902</v>
      </c>
      <c r="AO195" s="39">
        <v>53.090046322449425</v>
      </c>
      <c r="AP195" s="43" t="s">
        <v>539</v>
      </c>
      <c r="AQ195" s="43">
        <v>108.97</v>
      </c>
      <c r="AR195" s="43">
        <v>88.51</v>
      </c>
      <c r="AS195" s="39" t="s">
        <v>539</v>
      </c>
      <c r="AT195" s="39" t="s">
        <v>539</v>
      </c>
      <c r="AU195" s="1">
        <v>15904.834218759999</v>
      </c>
    </row>
    <row r="196" spans="2:47" ht="18" customHeight="1" x14ac:dyDescent="0.25">
      <c r="B196" s="2">
        <f>IF(G196=$B$6,MAX(B$7:B195)+1,IF($B$6="Nifty 500 - All Sector",B195+1,0))</f>
        <v>0</v>
      </c>
      <c r="C196" s="36">
        <v>103</v>
      </c>
      <c r="D196" s="36" t="s">
        <v>215</v>
      </c>
      <c r="E196" s="36" t="s">
        <v>527</v>
      </c>
      <c r="F196" s="36" t="s">
        <v>742</v>
      </c>
      <c r="G196" s="36" t="s">
        <v>542</v>
      </c>
      <c r="H196" s="36" t="s">
        <v>529</v>
      </c>
      <c r="I196" s="37" t="s">
        <v>540</v>
      </c>
      <c r="J196" s="38">
        <v>1361.3333333333335</v>
      </c>
      <c r="K196" s="39">
        <v>11.848735813505096</v>
      </c>
      <c r="L196" s="39">
        <v>5.4594094892810752</v>
      </c>
      <c r="M196" s="38" t="s">
        <v>539</v>
      </c>
      <c r="N196" s="38">
        <v>1217.1200000000001</v>
      </c>
      <c r="O196" s="38">
        <v>1290.8599999999999</v>
      </c>
      <c r="P196" s="39" t="s">
        <v>540</v>
      </c>
      <c r="Q196" s="39" t="s">
        <v>540</v>
      </c>
      <c r="R196" s="40"/>
      <c r="S196" s="38">
        <v>178.1</v>
      </c>
      <c r="T196" s="39">
        <v>13.082761998041134</v>
      </c>
      <c r="U196" s="39">
        <v>106.34048270144501</v>
      </c>
      <c r="V196" s="38" t="s">
        <v>539</v>
      </c>
      <c r="W196" s="38">
        <v>146.29</v>
      </c>
      <c r="X196" s="38">
        <v>157.1</v>
      </c>
      <c r="Y196" s="39" t="s">
        <v>540</v>
      </c>
      <c r="Z196" s="39" t="s">
        <v>540</v>
      </c>
      <c r="AA196" s="41" t="s">
        <v>540</v>
      </c>
      <c r="AB196" s="42" t="s">
        <v>540</v>
      </c>
      <c r="AC196" s="40"/>
      <c r="AD196" s="43">
        <v>104.3</v>
      </c>
      <c r="AE196" s="39">
        <v>456.86065136145214</v>
      </c>
      <c r="AF196" s="39">
        <v>61.280346373898254</v>
      </c>
      <c r="AG196" s="43" t="s">
        <v>539</v>
      </c>
      <c r="AH196" s="43">
        <v>18.73</v>
      </c>
      <c r="AI196" s="43">
        <v>64.67</v>
      </c>
      <c r="AJ196" s="39" t="s">
        <v>539</v>
      </c>
      <c r="AK196" s="39" t="s">
        <v>539</v>
      </c>
      <c r="AL196" s="44"/>
      <c r="AM196" s="43">
        <v>104.3</v>
      </c>
      <c r="AN196" s="39">
        <v>257.92724776938917</v>
      </c>
      <c r="AO196" s="39">
        <v>37.381454162276071</v>
      </c>
      <c r="AP196" s="43" t="s">
        <v>539</v>
      </c>
      <c r="AQ196" s="43">
        <v>29.14</v>
      </c>
      <c r="AR196" s="43">
        <v>75.92</v>
      </c>
      <c r="AS196" s="39" t="s">
        <v>539</v>
      </c>
      <c r="AT196" s="39" t="s">
        <v>539</v>
      </c>
      <c r="AU196" s="1">
        <v>16913.829252579999</v>
      </c>
    </row>
    <row r="197" spans="2:47" ht="18" customHeight="1" x14ac:dyDescent="0.25">
      <c r="B197" s="2">
        <f>IF(G197=$B$6,MAX(B$7:B196)+1,IF($B$6="Nifty 500 - All Sector",B196+1,0))</f>
        <v>0</v>
      </c>
      <c r="C197" s="36">
        <v>72748</v>
      </c>
      <c r="D197" s="36" t="s">
        <v>216</v>
      </c>
      <c r="E197" s="36" t="s">
        <v>527</v>
      </c>
      <c r="F197" s="36" t="s">
        <v>743</v>
      </c>
      <c r="G197" s="36" t="s">
        <v>542</v>
      </c>
      <c r="H197" s="36" t="s">
        <v>529</v>
      </c>
      <c r="I197" s="37" t="s">
        <v>540</v>
      </c>
      <c r="J197" s="38">
        <v>1485.4</v>
      </c>
      <c r="K197" s="39" t="s">
        <v>540</v>
      </c>
      <c r="L197" s="39">
        <v>28.912772553226219</v>
      </c>
      <c r="M197" s="38" t="s">
        <v>539</v>
      </c>
      <c r="N197" s="38">
        <v>0</v>
      </c>
      <c r="O197" s="38">
        <v>1152.252</v>
      </c>
      <c r="P197" s="39" t="s">
        <v>540</v>
      </c>
      <c r="Q197" s="39" t="s">
        <v>540</v>
      </c>
      <c r="R197" s="40"/>
      <c r="S197" s="38">
        <v>456.9</v>
      </c>
      <c r="T197" s="39">
        <v>30.759391409721282</v>
      </c>
      <c r="U197" s="39" t="s">
        <v>540</v>
      </c>
      <c r="V197" s="38" t="s">
        <v>539</v>
      </c>
      <c r="W197" s="38" t="s">
        <v>540</v>
      </c>
      <c r="X197" s="38">
        <v>413.38099999999997</v>
      </c>
      <c r="Y197" s="39" t="s">
        <v>540</v>
      </c>
      <c r="Z197" s="39" t="s">
        <v>540</v>
      </c>
      <c r="AA197" s="41" t="s">
        <v>540</v>
      </c>
      <c r="AB197" s="42" t="s">
        <v>540</v>
      </c>
      <c r="AC197" s="40"/>
      <c r="AD197" s="43">
        <v>280.2</v>
      </c>
      <c r="AE197" s="39" t="s">
        <v>539</v>
      </c>
      <c r="AF197" s="39">
        <v>6.2820989386962456</v>
      </c>
      <c r="AG197" s="43" t="s">
        <v>539</v>
      </c>
      <c r="AH197" s="43">
        <v>0</v>
      </c>
      <c r="AI197" s="43">
        <v>263.63799999999998</v>
      </c>
      <c r="AJ197" s="39" t="s">
        <v>539</v>
      </c>
      <c r="AK197" s="39" t="s">
        <v>539</v>
      </c>
      <c r="AL197" s="44"/>
      <c r="AM197" s="43">
        <v>280.2</v>
      </c>
      <c r="AN197" s="39" t="s">
        <v>539</v>
      </c>
      <c r="AO197" s="39">
        <v>6.2820989386962456</v>
      </c>
      <c r="AP197" s="43" t="s">
        <v>539</v>
      </c>
      <c r="AQ197" s="43">
        <v>0</v>
      </c>
      <c r="AR197" s="43">
        <v>263.63799999999998</v>
      </c>
      <c r="AS197" s="39" t="s">
        <v>539</v>
      </c>
      <c r="AT197" s="39" t="s">
        <v>539</v>
      </c>
      <c r="AU197" s="1">
        <v>17775.958722275001</v>
      </c>
    </row>
    <row r="198" spans="2:47" ht="18" customHeight="1" x14ac:dyDescent="0.25">
      <c r="B198" s="2">
        <f>IF(G198=$B$6,MAX(B$7:B197)+1,IF($B$6="Nifty 500 - All Sector",B197+1,0))</f>
        <v>0</v>
      </c>
      <c r="C198" s="36">
        <v>155</v>
      </c>
      <c r="D198" s="36" t="s">
        <v>217</v>
      </c>
      <c r="E198" s="36" t="s">
        <v>527</v>
      </c>
      <c r="F198" s="36" t="s">
        <v>744</v>
      </c>
      <c r="G198" s="36" t="s">
        <v>542</v>
      </c>
      <c r="H198" s="36" t="s">
        <v>529</v>
      </c>
      <c r="I198" s="37" t="s">
        <v>540</v>
      </c>
      <c r="J198" s="38">
        <v>1063.2</v>
      </c>
      <c r="K198" s="39">
        <v>7.0802699164064897</v>
      </c>
      <c r="L198" s="39">
        <v>5.9597368945585094</v>
      </c>
      <c r="M198" s="38" t="s">
        <v>539</v>
      </c>
      <c r="N198" s="38">
        <v>992.9</v>
      </c>
      <c r="O198" s="38">
        <v>1003.4</v>
      </c>
      <c r="P198" s="39" t="s">
        <v>540</v>
      </c>
      <c r="Q198" s="39" t="s">
        <v>540</v>
      </c>
      <c r="R198" s="40"/>
      <c r="S198" s="38">
        <v>156.69999999999999</v>
      </c>
      <c r="T198" s="39">
        <v>14.738525206922496</v>
      </c>
      <c r="U198" s="39">
        <v>-35.866484242789376</v>
      </c>
      <c r="V198" s="38" t="s">
        <v>539</v>
      </c>
      <c r="W198" s="38">
        <v>149.9</v>
      </c>
      <c r="X198" s="38">
        <v>143.9</v>
      </c>
      <c r="Y198" s="39" t="s">
        <v>540</v>
      </c>
      <c r="Z198" s="39" t="s">
        <v>540</v>
      </c>
      <c r="AA198" s="41" t="s">
        <v>540</v>
      </c>
      <c r="AB198" s="42" t="s">
        <v>540</v>
      </c>
      <c r="AC198" s="40"/>
      <c r="AD198" s="43" t="s">
        <v>540</v>
      </c>
      <c r="AE198" s="39" t="s">
        <v>539</v>
      </c>
      <c r="AF198" s="39" t="s">
        <v>539</v>
      </c>
      <c r="AG198" s="43" t="s">
        <v>539</v>
      </c>
      <c r="AH198" s="43">
        <v>100.9</v>
      </c>
      <c r="AI198" s="43">
        <v>93.4</v>
      </c>
      <c r="AJ198" s="39" t="s">
        <v>539</v>
      </c>
      <c r="AK198" s="39" t="s">
        <v>539</v>
      </c>
      <c r="AL198" s="44"/>
      <c r="AM198" s="43" t="s">
        <v>539</v>
      </c>
      <c r="AN198" s="39" t="s">
        <v>539</v>
      </c>
      <c r="AO198" s="39" t="s">
        <v>539</v>
      </c>
      <c r="AP198" s="43" t="s">
        <v>539</v>
      </c>
      <c r="AQ198" s="43">
        <v>102</v>
      </c>
      <c r="AR198" s="43">
        <v>95.2</v>
      </c>
      <c r="AS198" s="39" t="s">
        <v>539</v>
      </c>
      <c r="AT198" s="39" t="s">
        <v>539</v>
      </c>
      <c r="AU198" s="1">
        <v>16819.946024199999</v>
      </c>
    </row>
    <row r="199" spans="2:47" ht="18" customHeight="1" x14ac:dyDescent="0.25">
      <c r="B199" s="2">
        <f>IF(G199=$B$6,MAX(B$7:B198)+1,IF($B$6="Nifty 500 - All Sector",B198+1,0))</f>
        <v>0</v>
      </c>
      <c r="C199" s="36">
        <v>65733</v>
      </c>
      <c r="D199" s="36" t="s">
        <v>218</v>
      </c>
      <c r="E199" s="36" t="s">
        <v>527</v>
      </c>
      <c r="F199" s="36" t="s">
        <v>745</v>
      </c>
      <c r="G199" s="36" t="s">
        <v>542</v>
      </c>
      <c r="H199" s="36" t="s">
        <v>529</v>
      </c>
      <c r="I199" s="37" t="s">
        <v>540</v>
      </c>
      <c r="J199" s="38">
        <v>2240.1095238095236</v>
      </c>
      <c r="K199" s="39">
        <v>8.7094069711120667</v>
      </c>
      <c r="L199" s="39">
        <v>18.006085645552528</v>
      </c>
      <c r="M199" s="38" t="s">
        <v>539</v>
      </c>
      <c r="N199" s="38">
        <v>2060.64</v>
      </c>
      <c r="O199" s="38">
        <v>1898.3</v>
      </c>
      <c r="P199" s="39" t="s">
        <v>540</v>
      </c>
      <c r="Q199" s="39" t="s">
        <v>540</v>
      </c>
      <c r="R199" s="40"/>
      <c r="S199" s="38">
        <v>248.6318181818182</v>
      </c>
      <c r="T199" s="39">
        <v>11.099092055061471</v>
      </c>
      <c r="U199" s="39">
        <v>-173.18730819833289</v>
      </c>
      <c r="V199" s="38" t="s">
        <v>539</v>
      </c>
      <c r="W199" s="38">
        <v>264.39999999999998</v>
      </c>
      <c r="X199" s="38">
        <v>195.28</v>
      </c>
      <c r="Y199" s="39" t="s">
        <v>540</v>
      </c>
      <c r="Z199" s="39" t="s">
        <v>540</v>
      </c>
      <c r="AA199" s="41" t="s">
        <v>540</v>
      </c>
      <c r="AB199" s="42" t="s">
        <v>540</v>
      </c>
      <c r="AC199" s="40"/>
      <c r="AD199" s="43">
        <v>155.38420000000002</v>
      </c>
      <c r="AE199" s="39">
        <v>-9.5235821590776695</v>
      </c>
      <c r="AF199" s="39">
        <v>53.84574257425745</v>
      </c>
      <c r="AG199" s="43" t="s">
        <v>539</v>
      </c>
      <c r="AH199" s="43">
        <v>171.74</v>
      </c>
      <c r="AI199" s="43">
        <v>101</v>
      </c>
      <c r="AJ199" s="39" t="s">
        <v>539</v>
      </c>
      <c r="AK199" s="39" t="s">
        <v>539</v>
      </c>
      <c r="AL199" s="44"/>
      <c r="AM199" s="43">
        <v>155.38420000000002</v>
      </c>
      <c r="AN199" s="39">
        <v>-8.317087561954196</v>
      </c>
      <c r="AO199" s="39">
        <v>58.055335164276279</v>
      </c>
      <c r="AP199" s="43" t="s">
        <v>539</v>
      </c>
      <c r="AQ199" s="43">
        <v>169.48</v>
      </c>
      <c r="AR199" s="43">
        <v>98.31</v>
      </c>
      <c r="AS199" s="39" t="s">
        <v>539</v>
      </c>
      <c r="AT199" s="39" t="s">
        <v>539</v>
      </c>
      <c r="AU199" s="1">
        <v>15978.747623125</v>
      </c>
    </row>
    <row r="200" spans="2:47" ht="18" customHeight="1" x14ac:dyDescent="0.25">
      <c r="B200" s="2">
        <f>IF(G200=$B$6,MAX(B$7:B199)+1,IF($B$6="Nifty 500 - All Sector",B199+1,0))</f>
        <v>0</v>
      </c>
      <c r="C200" s="36">
        <v>29577</v>
      </c>
      <c r="D200" s="36" t="s">
        <v>219</v>
      </c>
      <c r="E200" s="36" t="s">
        <v>527</v>
      </c>
      <c r="F200" s="36" t="s">
        <v>746</v>
      </c>
      <c r="G200" s="36" t="s">
        <v>542</v>
      </c>
      <c r="H200" s="36" t="s">
        <v>529</v>
      </c>
      <c r="I200" s="37" t="s">
        <v>540</v>
      </c>
      <c r="J200" s="38">
        <v>2741.666666666667</v>
      </c>
      <c r="K200" s="39">
        <v>23.618999180582655</v>
      </c>
      <c r="L200" s="39">
        <v>8.1160234124755704</v>
      </c>
      <c r="M200" s="38" t="s">
        <v>539</v>
      </c>
      <c r="N200" s="38">
        <v>2217.8359999999998</v>
      </c>
      <c r="O200" s="38">
        <v>2535.8560000000002</v>
      </c>
      <c r="P200" s="39" t="s">
        <v>540</v>
      </c>
      <c r="Q200" s="39" t="s">
        <v>540</v>
      </c>
      <c r="R200" s="40"/>
      <c r="S200" s="38">
        <v>212.4</v>
      </c>
      <c r="T200" s="39">
        <v>7.7471124620060783</v>
      </c>
      <c r="U200" s="39">
        <v>-101.70161750978374</v>
      </c>
      <c r="V200" s="38" t="s">
        <v>539</v>
      </c>
      <c r="W200" s="38">
        <v>194.374</v>
      </c>
      <c r="X200" s="38">
        <v>204.28399999999999</v>
      </c>
      <c r="Y200" s="39" t="s">
        <v>540</v>
      </c>
      <c r="Z200" s="39" t="s">
        <v>540</v>
      </c>
      <c r="AA200" s="41" t="s">
        <v>540</v>
      </c>
      <c r="AB200" s="42" t="s">
        <v>540</v>
      </c>
      <c r="AC200" s="40"/>
      <c r="AD200" s="43">
        <v>138.63330000000002</v>
      </c>
      <c r="AE200" s="39">
        <v>8.530261396463068</v>
      </c>
      <c r="AF200" s="39">
        <v>19.38796073027904</v>
      </c>
      <c r="AG200" s="43" t="s">
        <v>539</v>
      </c>
      <c r="AH200" s="43">
        <v>127.73699999999999</v>
      </c>
      <c r="AI200" s="43">
        <v>116.12</v>
      </c>
      <c r="AJ200" s="39" t="s">
        <v>539</v>
      </c>
      <c r="AK200" s="39" t="s">
        <v>539</v>
      </c>
      <c r="AL200" s="44"/>
      <c r="AM200" s="43">
        <v>138.63330000000002</v>
      </c>
      <c r="AN200" s="39">
        <v>7.3603141045001763</v>
      </c>
      <c r="AO200" s="39">
        <v>17.241428885543719</v>
      </c>
      <c r="AP200" s="43" t="s">
        <v>539</v>
      </c>
      <c r="AQ200" s="43">
        <v>129.12899999999999</v>
      </c>
      <c r="AR200" s="43">
        <v>118.246</v>
      </c>
      <c r="AS200" s="39" t="s">
        <v>539</v>
      </c>
      <c r="AT200" s="39" t="s">
        <v>539</v>
      </c>
      <c r="AU200" s="1">
        <v>15743.720768474999</v>
      </c>
    </row>
    <row r="201" spans="2:47" ht="18" customHeight="1" x14ac:dyDescent="0.25">
      <c r="B201" s="2">
        <f>IF(G201=$B$6,MAX(B$7:B200)+1,IF($B$6="Nifty 500 - All Sector",B200+1,0))</f>
        <v>0</v>
      </c>
      <c r="C201" s="36">
        <v>22929</v>
      </c>
      <c r="D201" s="36" t="s">
        <v>220</v>
      </c>
      <c r="E201" s="36" t="s">
        <v>527</v>
      </c>
      <c r="F201" s="36" t="s">
        <v>747</v>
      </c>
      <c r="G201" s="36" t="s">
        <v>542</v>
      </c>
      <c r="H201" s="36" t="s">
        <v>529</v>
      </c>
      <c r="I201" s="37" t="s">
        <v>540</v>
      </c>
      <c r="J201" s="38">
        <v>630.66666666666674</v>
      </c>
      <c r="K201" s="39">
        <v>17.224287484510548</v>
      </c>
      <c r="L201" s="39">
        <v>1.0683760683760868</v>
      </c>
      <c r="M201" s="38" t="s">
        <v>539</v>
      </c>
      <c r="N201" s="38">
        <v>538</v>
      </c>
      <c r="O201" s="38">
        <v>624</v>
      </c>
      <c r="P201" s="39" t="s">
        <v>540</v>
      </c>
      <c r="Q201" s="39" t="s">
        <v>540</v>
      </c>
      <c r="R201" s="40"/>
      <c r="S201" s="38">
        <v>132.42500000000001</v>
      </c>
      <c r="T201" s="39">
        <v>20.997621564482031</v>
      </c>
      <c r="U201" s="39">
        <v>-138.15605916517981</v>
      </c>
      <c r="V201" s="38" t="s">
        <v>539</v>
      </c>
      <c r="W201" s="38">
        <v>120.4</v>
      </c>
      <c r="X201" s="38">
        <v>134.1</v>
      </c>
      <c r="Y201" s="39" t="s">
        <v>540</v>
      </c>
      <c r="Z201" s="39" t="s">
        <v>540</v>
      </c>
      <c r="AA201" s="41" t="s">
        <v>540</v>
      </c>
      <c r="AB201" s="42" t="s">
        <v>540</v>
      </c>
      <c r="AC201" s="40"/>
      <c r="AD201" s="43">
        <v>108.13330000000001</v>
      </c>
      <c r="AE201" s="39">
        <v>14.305813953488379</v>
      </c>
      <c r="AF201" s="39">
        <v>16.774622030237584</v>
      </c>
      <c r="AG201" s="43" t="s">
        <v>539</v>
      </c>
      <c r="AH201" s="43">
        <v>94.6</v>
      </c>
      <c r="AI201" s="43">
        <v>92.6</v>
      </c>
      <c r="AJ201" s="39" t="s">
        <v>539</v>
      </c>
      <c r="AK201" s="39" t="s">
        <v>539</v>
      </c>
      <c r="AL201" s="44"/>
      <c r="AM201" s="43">
        <v>108.13330000000001</v>
      </c>
      <c r="AN201" s="39">
        <v>15.157933972310978</v>
      </c>
      <c r="AO201" s="39">
        <v>17.408577633007603</v>
      </c>
      <c r="AP201" s="43" t="s">
        <v>539</v>
      </c>
      <c r="AQ201" s="43">
        <v>93.9</v>
      </c>
      <c r="AR201" s="43">
        <v>92.1</v>
      </c>
      <c r="AS201" s="39" t="s">
        <v>539</v>
      </c>
      <c r="AT201" s="39" t="s">
        <v>539</v>
      </c>
      <c r="AU201" s="1">
        <v>15004.6430088</v>
      </c>
    </row>
    <row r="202" spans="2:47" ht="18" customHeight="1" x14ac:dyDescent="0.25">
      <c r="B202" s="2">
        <f>IF(G202=$B$6,MAX(B$7:B201)+1,IF($B$6="Nifty 500 - All Sector",B201+1,0))</f>
        <v>0</v>
      </c>
      <c r="C202" s="36">
        <v>27273</v>
      </c>
      <c r="D202" s="36" t="s">
        <v>221</v>
      </c>
      <c r="E202" s="36" t="s">
        <v>527</v>
      </c>
      <c r="F202" s="36" t="s">
        <v>748</v>
      </c>
      <c r="G202" s="36" t="s">
        <v>542</v>
      </c>
      <c r="H202" s="36" t="s">
        <v>529</v>
      </c>
      <c r="I202" s="37" t="s">
        <v>540</v>
      </c>
      <c r="J202" s="38">
        <v>6879.5857142857149</v>
      </c>
      <c r="K202" s="39">
        <v>0.10863771711953074</v>
      </c>
      <c r="L202" s="39">
        <v>14.633969261678036</v>
      </c>
      <c r="M202" s="38" t="s">
        <v>539</v>
      </c>
      <c r="N202" s="38">
        <v>6872.12</v>
      </c>
      <c r="O202" s="38">
        <v>6001.35</v>
      </c>
      <c r="P202" s="39" t="s">
        <v>540</v>
      </c>
      <c r="Q202" s="39" t="s">
        <v>540</v>
      </c>
      <c r="R202" s="40"/>
      <c r="S202" s="38">
        <v>561.69230769230762</v>
      </c>
      <c r="T202" s="39">
        <v>8.1646240198146334</v>
      </c>
      <c r="U202" s="39">
        <v>32.381215971905775</v>
      </c>
      <c r="V202" s="38" t="s">
        <v>539</v>
      </c>
      <c r="W202" s="38">
        <v>538.83000000000004</v>
      </c>
      <c r="X202" s="38">
        <v>429.98999999999899</v>
      </c>
      <c r="Y202" s="39" t="s">
        <v>540</v>
      </c>
      <c r="Z202" s="39" t="s">
        <v>540</v>
      </c>
      <c r="AA202" s="41" t="s">
        <v>540</v>
      </c>
      <c r="AB202" s="42" t="s">
        <v>540</v>
      </c>
      <c r="AC202" s="40"/>
      <c r="AD202" s="43">
        <v>263.18330000000003</v>
      </c>
      <c r="AE202" s="39">
        <v>-1.8705070842654603</v>
      </c>
      <c r="AF202" s="39">
        <v>106.48305350698264</v>
      </c>
      <c r="AG202" s="43" t="s">
        <v>539</v>
      </c>
      <c r="AH202" s="43">
        <v>268.2</v>
      </c>
      <c r="AI202" s="43">
        <v>127.46</v>
      </c>
      <c r="AJ202" s="39" t="s">
        <v>539</v>
      </c>
      <c r="AK202" s="39" t="s">
        <v>539</v>
      </c>
      <c r="AL202" s="44"/>
      <c r="AM202" s="43">
        <v>263.18330000000003</v>
      </c>
      <c r="AN202" s="39">
        <v>-1.8705070842654603</v>
      </c>
      <c r="AO202" s="39">
        <v>106.48305350698264</v>
      </c>
      <c r="AP202" s="43" t="s">
        <v>539</v>
      </c>
      <c r="AQ202" s="43">
        <v>268.2</v>
      </c>
      <c r="AR202" s="43">
        <v>127.46</v>
      </c>
      <c r="AS202" s="39" t="s">
        <v>539</v>
      </c>
      <c r="AT202" s="39" t="s">
        <v>539</v>
      </c>
      <c r="AU202" s="1">
        <v>15056.272000000001</v>
      </c>
    </row>
    <row r="203" spans="2:47" ht="18" customHeight="1" x14ac:dyDescent="0.25">
      <c r="B203" s="2">
        <f>IF(G203=$B$6,MAX(B$7:B202)+1,IF($B$6="Nifty 500 - All Sector",B202+1,0))</f>
        <v>0</v>
      </c>
      <c r="C203" s="36">
        <v>43989</v>
      </c>
      <c r="D203" s="36" t="s">
        <v>222</v>
      </c>
      <c r="E203" s="36" t="s">
        <v>527</v>
      </c>
      <c r="F203" s="36" t="s">
        <v>749</v>
      </c>
      <c r="G203" s="36" t="s">
        <v>542</v>
      </c>
      <c r="H203" s="36" t="s">
        <v>529</v>
      </c>
      <c r="I203" s="37" t="s">
        <v>540</v>
      </c>
      <c r="J203" s="38">
        <v>1743.325</v>
      </c>
      <c r="K203" s="39">
        <v>36.750678527164624</v>
      </c>
      <c r="L203" s="39">
        <v>44.380719698538229</v>
      </c>
      <c r="M203" s="38" t="s">
        <v>539</v>
      </c>
      <c r="N203" s="38">
        <v>1274.82</v>
      </c>
      <c r="O203" s="38">
        <v>1207.45</v>
      </c>
      <c r="P203" s="39" t="s">
        <v>540</v>
      </c>
      <c r="Q203" s="39" t="s">
        <v>540</v>
      </c>
      <c r="R203" s="40"/>
      <c r="S203" s="38">
        <v>377.23333333333335</v>
      </c>
      <c r="T203" s="39">
        <v>21.638726762556225</v>
      </c>
      <c r="U203" s="39">
        <v>169.15969716837864</v>
      </c>
      <c r="V203" s="38" t="s">
        <v>539</v>
      </c>
      <c r="W203" s="38">
        <v>254.29</v>
      </c>
      <c r="X203" s="38">
        <v>281.62</v>
      </c>
      <c r="Y203" s="39" t="s">
        <v>540</v>
      </c>
      <c r="Z203" s="39" t="s">
        <v>540</v>
      </c>
      <c r="AA203" s="41" t="s">
        <v>540</v>
      </c>
      <c r="AB203" s="42" t="s">
        <v>540</v>
      </c>
      <c r="AC203" s="40"/>
      <c r="AD203" s="43">
        <v>220.7</v>
      </c>
      <c r="AE203" s="39">
        <v>15.950404539245543</v>
      </c>
      <c r="AF203" s="39">
        <v>74.259771022502946</v>
      </c>
      <c r="AG203" s="43" t="s">
        <v>539</v>
      </c>
      <c r="AH203" s="43">
        <v>190.34</v>
      </c>
      <c r="AI203" s="43">
        <v>126.65</v>
      </c>
      <c r="AJ203" s="39" t="s">
        <v>539</v>
      </c>
      <c r="AK203" s="39" t="s">
        <v>539</v>
      </c>
      <c r="AL203" s="44"/>
      <c r="AM203" s="43">
        <v>220.7</v>
      </c>
      <c r="AN203" s="39">
        <v>15.06177988634585</v>
      </c>
      <c r="AO203" s="39">
        <v>88.037829087501038</v>
      </c>
      <c r="AP203" s="43" t="s">
        <v>539</v>
      </c>
      <c r="AQ203" s="43">
        <v>191.81</v>
      </c>
      <c r="AR203" s="43">
        <v>117.37</v>
      </c>
      <c r="AS203" s="39" t="s">
        <v>539</v>
      </c>
      <c r="AT203" s="39" t="s">
        <v>539</v>
      </c>
      <c r="AU203" s="1">
        <v>16127.915354904</v>
      </c>
    </row>
    <row r="204" spans="2:47" ht="18" customHeight="1" x14ac:dyDescent="0.25">
      <c r="B204" s="2">
        <f>IF(G204=$B$6,MAX(B$7:B203)+1,IF($B$6="Nifty 500 - All Sector",B203+1,0))</f>
        <v>0</v>
      </c>
      <c r="C204" s="36">
        <v>35139</v>
      </c>
      <c r="D204" s="36" t="s">
        <v>223</v>
      </c>
      <c r="E204" s="36" t="s">
        <v>527</v>
      </c>
      <c r="F204" s="36" t="s">
        <v>750</v>
      </c>
      <c r="G204" s="36" t="s">
        <v>542</v>
      </c>
      <c r="H204" s="36" t="s">
        <v>529</v>
      </c>
      <c r="I204" s="37" t="s">
        <v>540</v>
      </c>
      <c r="J204" s="38">
        <v>603.79999999999995</v>
      </c>
      <c r="K204" s="39">
        <v>12.626560319935543</v>
      </c>
      <c r="L204" s="39">
        <v>49.564286882037912</v>
      </c>
      <c r="M204" s="38" t="s">
        <v>539</v>
      </c>
      <c r="N204" s="38">
        <v>536.10799999999995</v>
      </c>
      <c r="O204" s="38">
        <v>403.70600000000002</v>
      </c>
      <c r="P204" s="39" t="s">
        <v>540</v>
      </c>
      <c r="Q204" s="39" t="s">
        <v>540</v>
      </c>
      <c r="R204" s="40"/>
      <c r="S204" s="38">
        <v>142.4</v>
      </c>
      <c r="T204" s="39">
        <v>23.583968201391194</v>
      </c>
      <c r="U204" s="39">
        <v>-437.75619380583208</v>
      </c>
      <c r="V204" s="38" t="s">
        <v>539</v>
      </c>
      <c r="W204" s="38">
        <v>149.904</v>
      </c>
      <c r="X204" s="38">
        <v>46.183999999999997</v>
      </c>
      <c r="Y204" s="39" t="s">
        <v>540</v>
      </c>
      <c r="Z204" s="39" t="s">
        <v>540</v>
      </c>
      <c r="AA204" s="41" t="s">
        <v>540</v>
      </c>
      <c r="AB204" s="42" t="s">
        <v>540</v>
      </c>
      <c r="AC204" s="40"/>
      <c r="AD204" s="43" t="s">
        <v>540</v>
      </c>
      <c r="AE204" s="39" t="s">
        <v>539</v>
      </c>
      <c r="AF204" s="39" t="s">
        <v>539</v>
      </c>
      <c r="AG204" s="43" t="s">
        <v>539</v>
      </c>
      <c r="AH204" s="43">
        <v>101.12</v>
      </c>
      <c r="AI204" s="43">
        <v>18.356999999999999</v>
      </c>
      <c r="AJ204" s="39" t="s">
        <v>539</v>
      </c>
      <c r="AK204" s="39" t="s">
        <v>539</v>
      </c>
      <c r="AL204" s="44"/>
      <c r="AM204" s="43" t="s">
        <v>539</v>
      </c>
      <c r="AN204" s="39" t="s">
        <v>539</v>
      </c>
      <c r="AO204" s="39" t="s">
        <v>539</v>
      </c>
      <c r="AP204" s="43" t="s">
        <v>539</v>
      </c>
      <c r="AQ204" s="43">
        <v>101.90900000000001</v>
      </c>
      <c r="AR204" s="43">
        <v>19.707999999999998</v>
      </c>
      <c r="AS204" s="39" t="s">
        <v>539</v>
      </c>
      <c r="AT204" s="39" t="s">
        <v>539</v>
      </c>
      <c r="AU204" s="1">
        <v>12971.172698189999</v>
      </c>
    </row>
    <row r="205" spans="2:47" ht="18" customHeight="1" x14ac:dyDescent="0.25">
      <c r="B205" s="2">
        <f>IF(G205=$B$6,MAX(B$7:B204)+1,IF($B$6="Nifty 500 - All Sector",B204+1,0))</f>
        <v>0</v>
      </c>
      <c r="C205" s="36">
        <v>2294</v>
      </c>
      <c r="D205" s="36" t="s">
        <v>224</v>
      </c>
      <c r="E205" s="36" t="s">
        <v>527</v>
      </c>
      <c r="F205" s="36" t="s">
        <v>751</v>
      </c>
      <c r="G205" s="36" t="s">
        <v>542</v>
      </c>
      <c r="H205" s="36" t="s">
        <v>529</v>
      </c>
      <c r="I205" s="37" t="s">
        <v>540</v>
      </c>
      <c r="J205" s="38">
        <v>2002.05</v>
      </c>
      <c r="K205" s="39">
        <v>21.150599383974878</v>
      </c>
      <c r="L205" s="39">
        <v>84.815419978398737</v>
      </c>
      <c r="M205" s="38" t="s">
        <v>539</v>
      </c>
      <c r="N205" s="38">
        <v>1652.53</v>
      </c>
      <c r="O205" s="38">
        <v>1083.27</v>
      </c>
      <c r="P205" s="39" t="s">
        <v>540</v>
      </c>
      <c r="Q205" s="39" t="s">
        <v>540</v>
      </c>
      <c r="R205" s="40"/>
      <c r="S205" s="38">
        <v>479.2</v>
      </c>
      <c r="T205" s="39">
        <v>23.935466147199122</v>
      </c>
      <c r="U205" s="39">
        <v>-163.1391943122992</v>
      </c>
      <c r="V205" s="38" t="s">
        <v>539</v>
      </c>
      <c r="W205" s="38">
        <v>422.5</v>
      </c>
      <c r="X205" s="38">
        <v>3.5799999999999299</v>
      </c>
      <c r="Y205" s="39" t="s">
        <v>540</v>
      </c>
      <c r="Z205" s="39" t="s">
        <v>540</v>
      </c>
      <c r="AA205" s="41" t="s">
        <v>540</v>
      </c>
      <c r="AB205" s="42" t="s">
        <v>540</v>
      </c>
      <c r="AC205" s="40"/>
      <c r="AD205" s="43">
        <v>337.6</v>
      </c>
      <c r="AE205" s="39">
        <v>17.405668579377508</v>
      </c>
      <c r="AF205" s="39" t="s">
        <v>547</v>
      </c>
      <c r="AG205" s="43" t="s">
        <v>539</v>
      </c>
      <c r="AH205" s="43">
        <v>287.55</v>
      </c>
      <c r="AI205" s="43">
        <v>-22.380000000000202</v>
      </c>
      <c r="AJ205" s="39" t="s">
        <v>539</v>
      </c>
      <c r="AK205" s="39" t="s">
        <v>547</v>
      </c>
      <c r="AL205" s="44"/>
      <c r="AM205" s="43">
        <v>337.6</v>
      </c>
      <c r="AN205" s="39">
        <v>17.405668579377508</v>
      </c>
      <c r="AO205" s="39" t="s">
        <v>547</v>
      </c>
      <c r="AP205" s="43" t="s">
        <v>539</v>
      </c>
      <c r="AQ205" s="43">
        <v>287.55</v>
      </c>
      <c r="AR205" s="43">
        <v>-22.38</v>
      </c>
      <c r="AS205" s="39" t="s">
        <v>539</v>
      </c>
      <c r="AT205" s="39" t="s">
        <v>547</v>
      </c>
      <c r="AU205" s="1">
        <v>14241.169664999999</v>
      </c>
    </row>
    <row r="206" spans="2:47" ht="18" customHeight="1" x14ac:dyDescent="0.25">
      <c r="B206" s="2">
        <f>IF(G206=$B$6,MAX(B$7:B205)+1,IF($B$6="Nifty 500 - All Sector",B205+1,0))</f>
        <v>0</v>
      </c>
      <c r="C206" s="36">
        <v>21203</v>
      </c>
      <c r="D206" s="36" t="s">
        <v>225</v>
      </c>
      <c r="E206" s="36" t="s">
        <v>527</v>
      </c>
      <c r="F206" s="36" t="s">
        <v>752</v>
      </c>
      <c r="G206" s="36" t="s">
        <v>542</v>
      </c>
      <c r="H206" s="36" t="s">
        <v>529</v>
      </c>
      <c r="I206" s="37" t="s">
        <v>540</v>
      </c>
      <c r="J206" s="38" t="s">
        <v>539</v>
      </c>
      <c r="K206" s="39" t="s">
        <v>540</v>
      </c>
      <c r="L206" s="39" t="s">
        <v>540</v>
      </c>
      <c r="M206" s="38" t="s">
        <v>539</v>
      </c>
      <c r="N206" s="38">
        <v>324.97300000000001</v>
      </c>
      <c r="O206" s="38">
        <v>177.82300000000001</v>
      </c>
      <c r="P206" s="39" t="s">
        <v>540</v>
      </c>
      <c r="Q206" s="39" t="s">
        <v>540</v>
      </c>
      <c r="R206" s="40"/>
      <c r="S206" s="38" t="s">
        <v>539</v>
      </c>
      <c r="T206" s="39" t="s">
        <v>540</v>
      </c>
      <c r="U206" s="39" t="s">
        <v>540</v>
      </c>
      <c r="V206" s="38" t="s">
        <v>539</v>
      </c>
      <c r="W206" s="38">
        <v>137.97</v>
      </c>
      <c r="X206" s="38">
        <v>66.802000000000007</v>
      </c>
      <c r="Y206" s="39" t="s">
        <v>540</v>
      </c>
      <c r="Z206" s="39" t="s">
        <v>540</v>
      </c>
      <c r="AA206" s="41" t="s">
        <v>540</v>
      </c>
      <c r="AB206" s="42" t="s">
        <v>540</v>
      </c>
      <c r="AC206" s="40"/>
      <c r="AD206" s="43" t="s">
        <v>540</v>
      </c>
      <c r="AE206" s="39" t="s">
        <v>539</v>
      </c>
      <c r="AF206" s="39" t="s">
        <v>539</v>
      </c>
      <c r="AG206" s="43" t="s">
        <v>539</v>
      </c>
      <c r="AH206" s="43">
        <v>113.79300000000001</v>
      </c>
      <c r="AI206" s="43">
        <v>56.003</v>
      </c>
      <c r="AJ206" s="39" t="s">
        <v>539</v>
      </c>
      <c r="AK206" s="39" t="s">
        <v>539</v>
      </c>
      <c r="AL206" s="44"/>
      <c r="AM206" s="43" t="s">
        <v>539</v>
      </c>
      <c r="AN206" s="39" t="s">
        <v>539</v>
      </c>
      <c r="AO206" s="39" t="s">
        <v>539</v>
      </c>
      <c r="AP206" s="43" t="s">
        <v>539</v>
      </c>
      <c r="AQ206" s="43">
        <v>101.04600000000001</v>
      </c>
      <c r="AR206" s="43">
        <v>54.767000000000003</v>
      </c>
      <c r="AS206" s="39" t="s">
        <v>539</v>
      </c>
      <c r="AT206" s="39" t="s">
        <v>539</v>
      </c>
      <c r="AU206" s="1">
        <v>13705.56475544</v>
      </c>
    </row>
    <row r="207" spans="2:47" ht="18" customHeight="1" x14ac:dyDescent="0.25">
      <c r="B207" s="2">
        <f>IF(G207=$B$6,MAX(B$7:B206)+1,IF($B$6="Nifty 500 - All Sector",B206+1,0))</f>
        <v>0</v>
      </c>
      <c r="C207" s="36">
        <v>102</v>
      </c>
      <c r="D207" s="36" t="s">
        <v>226</v>
      </c>
      <c r="E207" s="36" t="s">
        <v>527</v>
      </c>
      <c r="F207" s="36" t="s">
        <v>753</v>
      </c>
      <c r="G207" s="36" t="s">
        <v>542</v>
      </c>
      <c r="H207" s="36" t="s">
        <v>529</v>
      </c>
      <c r="I207" s="37" t="s">
        <v>540</v>
      </c>
      <c r="J207" s="38">
        <v>679.1</v>
      </c>
      <c r="K207" s="39">
        <v>1.9669669669669654</v>
      </c>
      <c r="L207" s="39">
        <v>5.778816199376946</v>
      </c>
      <c r="M207" s="38" t="s">
        <v>539</v>
      </c>
      <c r="N207" s="38">
        <v>666</v>
      </c>
      <c r="O207" s="38">
        <v>642</v>
      </c>
      <c r="P207" s="39" t="s">
        <v>540</v>
      </c>
      <c r="Q207" s="39" t="s">
        <v>540</v>
      </c>
      <c r="R207" s="40"/>
      <c r="S207" s="38">
        <v>85.15</v>
      </c>
      <c r="T207" s="39">
        <v>12.53865410101605</v>
      </c>
      <c r="U207" s="39">
        <v>668.2798245160194</v>
      </c>
      <c r="V207" s="38" t="s">
        <v>539</v>
      </c>
      <c r="W207" s="38">
        <v>39</v>
      </c>
      <c r="X207" s="38">
        <v>42</v>
      </c>
      <c r="Y207" s="39" t="s">
        <v>540</v>
      </c>
      <c r="Z207" s="39" t="s">
        <v>540</v>
      </c>
      <c r="AA207" s="41" t="s">
        <v>540</v>
      </c>
      <c r="AB207" s="42" t="s">
        <v>540</v>
      </c>
      <c r="AC207" s="40"/>
      <c r="AD207" s="43">
        <v>89.45</v>
      </c>
      <c r="AE207" s="39">
        <v>82.551020408163268</v>
      </c>
      <c r="AF207" s="39">
        <v>33.507462686567166</v>
      </c>
      <c r="AG207" s="43" t="s">
        <v>539</v>
      </c>
      <c r="AH207" s="43">
        <v>49</v>
      </c>
      <c r="AI207" s="43">
        <v>67</v>
      </c>
      <c r="AJ207" s="39" t="s">
        <v>539</v>
      </c>
      <c r="AK207" s="39" t="s">
        <v>539</v>
      </c>
      <c r="AL207" s="44"/>
      <c r="AM207" s="43">
        <v>89.45</v>
      </c>
      <c r="AN207" s="39">
        <v>78.90000000000002</v>
      </c>
      <c r="AO207" s="39">
        <v>31.544117647058822</v>
      </c>
      <c r="AP207" s="43" t="s">
        <v>539</v>
      </c>
      <c r="AQ207" s="43">
        <v>50</v>
      </c>
      <c r="AR207" s="43">
        <v>68</v>
      </c>
      <c r="AS207" s="39" t="s">
        <v>539</v>
      </c>
      <c r="AT207" s="39" t="s">
        <v>539</v>
      </c>
      <c r="AU207" s="1">
        <v>13015.92207228</v>
      </c>
    </row>
    <row r="208" spans="2:47" ht="18" customHeight="1" x14ac:dyDescent="0.25">
      <c r="B208" s="2">
        <f>IF(G208=$B$6,MAX(B$7:B207)+1,IF($B$6="Nifty 500 - All Sector",B207+1,0))</f>
        <v>0</v>
      </c>
      <c r="C208" s="36">
        <v>171</v>
      </c>
      <c r="D208" s="36" t="s">
        <v>227</v>
      </c>
      <c r="E208" s="36" t="s">
        <v>533</v>
      </c>
      <c r="F208" s="36" t="s">
        <v>754</v>
      </c>
      <c r="G208" s="36" t="s">
        <v>542</v>
      </c>
      <c r="H208" s="36" t="s">
        <v>529</v>
      </c>
      <c r="I208" s="37" t="s">
        <v>540</v>
      </c>
      <c r="J208" s="38" t="s">
        <v>539</v>
      </c>
      <c r="K208" s="39" t="s">
        <v>540</v>
      </c>
      <c r="L208" s="39" t="s">
        <v>540</v>
      </c>
      <c r="M208" s="38" t="s">
        <v>539</v>
      </c>
      <c r="N208" s="38">
        <v>1594.58</v>
      </c>
      <c r="O208" s="38">
        <v>1598.62</v>
      </c>
      <c r="P208" s="39" t="s">
        <v>540</v>
      </c>
      <c r="Q208" s="39" t="s">
        <v>540</v>
      </c>
      <c r="R208" s="40"/>
      <c r="S208" s="38">
        <v>185.5</v>
      </c>
      <c r="T208" s="39" t="s">
        <v>540</v>
      </c>
      <c r="U208" s="39" t="s">
        <v>540</v>
      </c>
      <c r="V208" s="38" t="s">
        <v>539</v>
      </c>
      <c r="W208" s="38">
        <v>166.29</v>
      </c>
      <c r="X208" s="38">
        <v>152.84</v>
      </c>
      <c r="Y208" s="39" t="s">
        <v>540</v>
      </c>
      <c r="Z208" s="39" t="s">
        <v>540</v>
      </c>
      <c r="AA208" s="41" t="s">
        <v>540</v>
      </c>
      <c r="AB208" s="42" t="s">
        <v>540</v>
      </c>
      <c r="AC208" s="40"/>
      <c r="AD208" s="43">
        <v>175.1</v>
      </c>
      <c r="AE208" s="39">
        <v>15.303569076781232</v>
      </c>
      <c r="AF208" s="39">
        <v>28.778407001544458</v>
      </c>
      <c r="AG208" s="43" t="s">
        <v>539</v>
      </c>
      <c r="AH208" s="43">
        <v>151.86000000000001</v>
      </c>
      <c r="AI208" s="43">
        <v>135.97</v>
      </c>
      <c r="AJ208" s="39" t="s">
        <v>539</v>
      </c>
      <c r="AK208" s="39" t="s">
        <v>539</v>
      </c>
      <c r="AL208" s="44"/>
      <c r="AM208" s="43">
        <v>175.1</v>
      </c>
      <c r="AN208" s="39">
        <v>15.303569076781232</v>
      </c>
      <c r="AO208" s="39">
        <v>28.778407001544458</v>
      </c>
      <c r="AP208" s="43" t="s">
        <v>539</v>
      </c>
      <c r="AQ208" s="43">
        <v>151.86000000000001</v>
      </c>
      <c r="AR208" s="43">
        <v>135.97</v>
      </c>
      <c r="AS208" s="39" t="s">
        <v>539</v>
      </c>
      <c r="AT208" s="39" t="s">
        <v>539</v>
      </c>
      <c r="AU208" s="1">
        <v>13506.838253675</v>
      </c>
    </row>
    <row r="209" spans="2:47" ht="18" customHeight="1" x14ac:dyDescent="0.25">
      <c r="B209" s="2">
        <f>IF(G209=$B$6,MAX(B$7:B208)+1,IF($B$6="Nifty 500 - All Sector",B208+1,0))</f>
        <v>0</v>
      </c>
      <c r="C209" s="36">
        <v>12029</v>
      </c>
      <c r="D209" s="36" t="s">
        <v>228</v>
      </c>
      <c r="E209" s="36" t="s">
        <v>527</v>
      </c>
      <c r="F209" s="36" t="s">
        <v>755</v>
      </c>
      <c r="G209" s="36" t="s">
        <v>542</v>
      </c>
      <c r="H209" s="36" t="s">
        <v>529</v>
      </c>
      <c r="I209" s="37" t="s">
        <v>540</v>
      </c>
      <c r="J209" s="38" t="s">
        <v>539</v>
      </c>
      <c r="K209" s="39" t="s">
        <v>540</v>
      </c>
      <c r="L209" s="39" t="s">
        <v>540</v>
      </c>
      <c r="M209" s="38" t="s">
        <v>539</v>
      </c>
      <c r="N209" s="38">
        <v>1010.227</v>
      </c>
      <c r="O209" s="38">
        <v>1210.241</v>
      </c>
      <c r="P209" s="39" t="s">
        <v>540</v>
      </c>
      <c r="Q209" s="39" t="s">
        <v>540</v>
      </c>
      <c r="R209" s="40"/>
      <c r="S209" s="38" t="s">
        <v>539</v>
      </c>
      <c r="T209" s="39" t="s">
        <v>540</v>
      </c>
      <c r="U209" s="39" t="s">
        <v>540</v>
      </c>
      <c r="V209" s="38" t="s">
        <v>539</v>
      </c>
      <c r="W209" s="38">
        <v>300.96100000000001</v>
      </c>
      <c r="X209" s="38">
        <v>352.226</v>
      </c>
      <c r="Y209" s="39" t="s">
        <v>540</v>
      </c>
      <c r="Z209" s="39" t="s">
        <v>540</v>
      </c>
      <c r="AA209" s="41" t="s">
        <v>540</v>
      </c>
      <c r="AB209" s="42" t="s">
        <v>540</v>
      </c>
      <c r="AC209" s="40"/>
      <c r="AD209" s="43" t="s">
        <v>540</v>
      </c>
      <c r="AE209" s="39" t="s">
        <v>539</v>
      </c>
      <c r="AF209" s="39" t="s">
        <v>539</v>
      </c>
      <c r="AG209" s="43" t="s">
        <v>539</v>
      </c>
      <c r="AH209" s="43">
        <v>242.30500000000001</v>
      </c>
      <c r="AI209" s="43">
        <v>305.55500000000001</v>
      </c>
      <c r="AJ209" s="39" t="s">
        <v>539</v>
      </c>
      <c r="AK209" s="39" t="s">
        <v>539</v>
      </c>
      <c r="AL209" s="44"/>
      <c r="AM209" s="43" t="s">
        <v>539</v>
      </c>
      <c r="AN209" s="39" t="s">
        <v>539</v>
      </c>
      <c r="AO209" s="39" t="s">
        <v>539</v>
      </c>
      <c r="AP209" s="43" t="s">
        <v>539</v>
      </c>
      <c r="AQ209" s="43">
        <v>279.81</v>
      </c>
      <c r="AR209" s="43">
        <v>347.16800000000001</v>
      </c>
      <c r="AS209" s="39" t="s">
        <v>539</v>
      </c>
      <c r="AT209" s="39" t="s">
        <v>539</v>
      </c>
      <c r="AU209" s="1">
        <v>12345.260722945</v>
      </c>
    </row>
    <row r="210" spans="2:47" ht="18" customHeight="1" x14ac:dyDescent="0.25">
      <c r="B210" s="2">
        <f>IF(G210=$B$6,MAX(B$7:B209)+1,IF($B$6="Nifty 500 - All Sector",B209+1,0))</f>
        <v>0</v>
      </c>
      <c r="C210" s="36">
        <v>1189</v>
      </c>
      <c r="D210" s="36" t="s">
        <v>229</v>
      </c>
      <c r="E210" s="36" t="s">
        <v>527</v>
      </c>
      <c r="F210" s="36" t="s">
        <v>756</v>
      </c>
      <c r="G210" s="36" t="s">
        <v>542</v>
      </c>
      <c r="H210" s="36" t="s">
        <v>529</v>
      </c>
      <c r="I210" s="37" t="s">
        <v>540</v>
      </c>
      <c r="J210" s="38" t="s">
        <v>539</v>
      </c>
      <c r="K210" s="39" t="s">
        <v>540</v>
      </c>
      <c r="L210" s="39" t="s">
        <v>540</v>
      </c>
      <c r="M210" s="38" t="s">
        <v>539</v>
      </c>
      <c r="N210" s="38">
        <v>800.72</v>
      </c>
      <c r="O210" s="38">
        <v>1210.79</v>
      </c>
      <c r="P210" s="39" t="s">
        <v>540</v>
      </c>
      <c r="Q210" s="39" t="s">
        <v>540</v>
      </c>
      <c r="R210" s="40"/>
      <c r="S210" s="38" t="s">
        <v>539</v>
      </c>
      <c r="T210" s="39" t="s">
        <v>540</v>
      </c>
      <c r="U210" s="39" t="s">
        <v>540</v>
      </c>
      <c r="V210" s="38" t="s">
        <v>539</v>
      </c>
      <c r="W210" s="38">
        <v>-35.97</v>
      </c>
      <c r="X210" s="38">
        <v>228.1</v>
      </c>
      <c r="Y210" s="39" t="s">
        <v>540</v>
      </c>
      <c r="Z210" s="39" t="s">
        <v>540</v>
      </c>
      <c r="AA210" s="41" t="s">
        <v>540</v>
      </c>
      <c r="AB210" s="42" t="s">
        <v>540</v>
      </c>
      <c r="AC210" s="40"/>
      <c r="AD210" s="43" t="s">
        <v>540</v>
      </c>
      <c r="AE210" s="39" t="s">
        <v>547</v>
      </c>
      <c r="AF210" s="39" t="s">
        <v>539</v>
      </c>
      <c r="AG210" s="43" t="s">
        <v>539</v>
      </c>
      <c r="AH210" s="43">
        <v>-82.199999999999903</v>
      </c>
      <c r="AI210" s="43">
        <v>101.25</v>
      </c>
      <c r="AJ210" s="39" t="s">
        <v>547</v>
      </c>
      <c r="AK210" s="39" t="s">
        <v>539</v>
      </c>
      <c r="AL210" s="44"/>
      <c r="AM210" s="43" t="s">
        <v>539</v>
      </c>
      <c r="AN210" s="39" t="s">
        <v>547</v>
      </c>
      <c r="AO210" s="39" t="s">
        <v>539</v>
      </c>
      <c r="AP210" s="43" t="s">
        <v>539</v>
      </c>
      <c r="AQ210" s="43">
        <v>-81.44</v>
      </c>
      <c r="AR210" s="43">
        <v>97.62</v>
      </c>
      <c r="AS210" s="39" t="s">
        <v>547</v>
      </c>
      <c r="AT210" s="39" t="s">
        <v>539</v>
      </c>
      <c r="AU210" s="1">
        <v>13483.077096567</v>
      </c>
    </row>
    <row r="211" spans="2:47" ht="18" customHeight="1" x14ac:dyDescent="0.25">
      <c r="B211" s="2">
        <f>IF(G211=$B$6,MAX(B$7:B210)+1,IF($B$6="Nifty 500 - All Sector",B210+1,0))</f>
        <v>0</v>
      </c>
      <c r="C211" s="36">
        <v>39220</v>
      </c>
      <c r="D211" s="36" t="s">
        <v>230</v>
      </c>
      <c r="E211" s="36" t="s">
        <v>527</v>
      </c>
      <c r="F211" s="36" t="s">
        <v>757</v>
      </c>
      <c r="G211" s="36" t="s">
        <v>542</v>
      </c>
      <c r="H211" s="36" t="s">
        <v>529</v>
      </c>
      <c r="I211" s="37" t="s">
        <v>540</v>
      </c>
      <c r="J211" s="38" t="s">
        <v>539</v>
      </c>
      <c r="K211" s="39" t="s">
        <v>540</v>
      </c>
      <c r="L211" s="39" t="s">
        <v>540</v>
      </c>
      <c r="M211" s="38" t="s">
        <v>539</v>
      </c>
      <c r="N211" s="38">
        <v>1044.548</v>
      </c>
      <c r="O211" s="38">
        <v>890.36400000000003</v>
      </c>
      <c r="P211" s="39" t="s">
        <v>540</v>
      </c>
      <c r="Q211" s="39" t="s">
        <v>540</v>
      </c>
      <c r="R211" s="40"/>
      <c r="S211" s="38" t="s">
        <v>539</v>
      </c>
      <c r="T211" s="39" t="s">
        <v>540</v>
      </c>
      <c r="U211" s="39" t="s">
        <v>540</v>
      </c>
      <c r="V211" s="38" t="s">
        <v>539</v>
      </c>
      <c r="W211" s="38">
        <v>152.73500000000001</v>
      </c>
      <c r="X211" s="38">
        <v>115.91800000000001</v>
      </c>
      <c r="Y211" s="39" t="s">
        <v>540</v>
      </c>
      <c r="Z211" s="39" t="s">
        <v>540</v>
      </c>
      <c r="AA211" s="41" t="s">
        <v>540</v>
      </c>
      <c r="AB211" s="42" t="s">
        <v>540</v>
      </c>
      <c r="AC211" s="40"/>
      <c r="AD211" s="43" t="s">
        <v>540</v>
      </c>
      <c r="AE211" s="39" t="s">
        <v>539</v>
      </c>
      <c r="AF211" s="39" t="s">
        <v>539</v>
      </c>
      <c r="AG211" s="43" t="s">
        <v>539</v>
      </c>
      <c r="AH211" s="43">
        <v>108.289</v>
      </c>
      <c r="AI211" s="43">
        <v>65.569000000000102</v>
      </c>
      <c r="AJ211" s="39" t="s">
        <v>539</v>
      </c>
      <c r="AK211" s="39" t="s">
        <v>539</v>
      </c>
      <c r="AL211" s="44"/>
      <c r="AM211" s="43" t="s">
        <v>539</v>
      </c>
      <c r="AN211" s="39" t="s">
        <v>539</v>
      </c>
      <c r="AO211" s="39" t="s">
        <v>539</v>
      </c>
      <c r="AP211" s="43" t="s">
        <v>539</v>
      </c>
      <c r="AQ211" s="43">
        <v>103.264</v>
      </c>
      <c r="AR211" s="43">
        <v>62.994999999999997</v>
      </c>
      <c r="AS211" s="39" t="s">
        <v>539</v>
      </c>
      <c r="AT211" s="39" t="s">
        <v>539</v>
      </c>
      <c r="AU211" s="1">
        <v>11669.348471645</v>
      </c>
    </row>
    <row r="212" spans="2:47" ht="18" customHeight="1" x14ac:dyDescent="0.25">
      <c r="B212" s="2">
        <f>IF(G212=$B$6,MAX(B$7:B211)+1,IF($B$6="Nifty 500 - All Sector",B211+1,0))</f>
        <v>0</v>
      </c>
      <c r="C212" s="36">
        <v>27338</v>
      </c>
      <c r="D212" s="36" t="s">
        <v>231</v>
      </c>
      <c r="E212" s="36" t="s">
        <v>527</v>
      </c>
      <c r="F212" s="36" t="s">
        <v>758</v>
      </c>
      <c r="G212" s="36" t="s">
        <v>542</v>
      </c>
      <c r="H212" s="36" t="s">
        <v>529</v>
      </c>
      <c r="I212" s="37" t="s">
        <v>540</v>
      </c>
      <c r="J212" s="38">
        <v>982.2</v>
      </c>
      <c r="K212" s="39">
        <v>2.2070989292292342</v>
      </c>
      <c r="L212" s="39">
        <v>14.926927442284965</v>
      </c>
      <c r="M212" s="38" t="s">
        <v>539</v>
      </c>
      <c r="N212" s="38">
        <v>960.99</v>
      </c>
      <c r="O212" s="38">
        <v>854.63</v>
      </c>
      <c r="P212" s="39" t="s">
        <v>540</v>
      </c>
      <c r="Q212" s="39" t="s">
        <v>540</v>
      </c>
      <c r="R212" s="40"/>
      <c r="S212" s="38">
        <v>138.1</v>
      </c>
      <c r="T212" s="39">
        <v>14.060272856851963</v>
      </c>
      <c r="U212" s="39">
        <v>-297.2162444243782</v>
      </c>
      <c r="V212" s="38" t="s">
        <v>539</v>
      </c>
      <c r="W212" s="38">
        <v>163.68</v>
      </c>
      <c r="X212" s="38">
        <v>129.74</v>
      </c>
      <c r="Y212" s="39" t="s">
        <v>540</v>
      </c>
      <c r="Z212" s="39" t="s">
        <v>540</v>
      </c>
      <c r="AA212" s="41" t="s">
        <v>540</v>
      </c>
      <c r="AB212" s="42" t="s">
        <v>540</v>
      </c>
      <c r="AC212" s="40"/>
      <c r="AD212" s="43">
        <v>104.3</v>
      </c>
      <c r="AE212" s="39">
        <v>-12.027665317139002</v>
      </c>
      <c r="AF212" s="39">
        <v>-10.402886349969931</v>
      </c>
      <c r="AG212" s="43" t="s">
        <v>539</v>
      </c>
      <c r="AH212" s="43">
        <v>118.56</v>
      </c>
      <c r="AI212" s="43">
        <v>116.41</v>
      </c>
      <c r="AJ212" s="39" t="s">
        <v>539</v>
      </c>
      <c r="AK212" s="39" t="s">
        <v>539</v>
      </c>
      <c r="AL212" s="44"/>
      <c r="AM212" s="43">
        <v>104.3</v>
      </c>
      <c r="AN212" s="39">
        <v>-12.027665317139002</v>
      </c>
      <c r="AO212" s="39">
        <v>-10.402886349969931</v>
      </c>
      <c r="AP212" s="43" t="s">
        <v>539</v>
      </c>
      <c r="AQ212" s="43">
        <v>118.56</v>
      </c>
      <c r="AR212" s="43">
        <v>116.41</v>
      </c>
      <c r="AS212" s="39" t="s">
        <v>539</v>
      </c>
      <c r="AT212" s="39" t="s">
        <v>539</v>
      </c>
      <c r="AU212" s="1">
        <v>10852.64706746</v>
      </c>
    </row>
    <row r="213" spans="2:47" ht="18" customHeight="1" x14ac:dyDescent="0.25">
      <c r="B213" s="2">
        <f>IF(G213=$B$6,MAX(B$7:B212)+1,IF($B$6="Nifty 500 - All Sector",B212+1,0))</f>
        <v>0</v>
      </c>
      <c r="C213" s="36">
        <v>19939</v>
      </c>
      <c r="D213" s="36" t="s">
        <v>232</v>
      </c>
      <c r="E213" s="36" t="s">
        <v>527</v>
      </c>
      <c r="F213" s="36" t="s">
        <v>759</v>
      </c>
      <c r="G213" s="36" t="s">
        <v>542</v>
      </c>
      <c r="H213" s="36" t="s">
        <v>529</v>
      </c>
      <c r="I213" s="37" t="s">
        <v>540</v>
      </c>
      <c r="J213" s="38">
        <v>948.9</v>
      </c>
      <c r="K213" s="39">
        <v>-5.6356096542259699</v>
      </c>
      <c r="L213" s="39">
        <v>14.04225656803597</v>
      </c>
      <c r="M213" s="38" t="s">
        <v>539</v>
      </c>
      <c r="N213" s="38">
        <v>1005.57</v>
      </c>
      <c r="O213" s="38">
        <v>832.06</v>
      </c>
      <c r="P213" s="39" t="s">
        <v>540</v>
      </c>
      <c r="Q213" s="39" t="s">
        <v>540</v>
      </c>
      <c r="R213" s="40"/>
      <c r="S213" s="38">
        <v>108.8</v>
      </c>
      <c r="T213" s="39">
        <v>11.465907893350195</v>
      </c>
      <c r="U213" s="39">
        <v>135.0252096140652</v>
      </c>
      <c r="V213" s="38" t="s">
        <v>539</v>
      </c>
      <c r="W213" s="38">
        <v>101.72</v>
      </c>
      <c r="X213" s="38">
        <v>92.04</v>
      </c>
      <c r="Y213" s="39" t="s">
        <v>540</v>
      </c>
      <c r="Z213" s="39" t="s">
        <v>540</v>
      </c>
      <c r="AA213" s="41" t="s">
        <v>540</v>
      </c>
      <c r="AB213" s="42" t="s">
        <v>540</v>
      </c>
      <c r="AC213" s="40"/>
      <c r="AD213" s="43">
        <v>66</v>
      </c>
      <c r="AE213" s="39">
        <v>-10.338269256894318</v>
      </c>
      <c r="AF213" s="39">
        <v>18.72638963842439</v>
      </c>
      <c r="AG213" s="43" t="s">
        <v>539</v>
      </c>
      <c r="AH213" s="43">
        <v>73.6099999999999</v>
      </c>
      <c r="AI213" s="43">
        <v>55.589999999999897</v>
      </c>
      <c r="AJ213" s="39" t="s">
        <v>539</v>
      </c>
      <c r="AK213" s="39" t="s">
        <v>539</v>
      </c>
      <c r="AL213" s="44"/>
      <c r="AM213" s="43">
        <v>66</v>
      </c>
      <c r="AN213" s="39">
        <v>2.4049650892164376</v>
      </c>
      <c r="AO213" s="39">
        <v>37.414116177389126</v>
      </c>
      <c r="AP213" s="43" t="s">
        <v>539</v>
      </c>
      <c r="AQ213" s="43">
        <v>64.45</v>
      </c>
      <c r="AR213" s="43">
        <v>48.03</v>
      </c>
      <c r="AS213" s="39" t="s">
        <v>539</v>
      </c>
      <c r="AT213" s="39" t="s">
        <v>539</v>
      </c>
      <c r="AU213" s="1">
        <v>9664.8629605200003</v>
      </c>
    </row>
    <row r="214" spans="2:47" ht="18" customHeight="1" x14ac:dyDescent="0.25">
      <c r="B214" s="2">
        <f>IF(G214=$B$6,MAX(B$7:B213)+1,IF($B$6="Nifty 500 - All Sector",B213+1,0))</f>
        <v>0</v>
      </c>
      <c r="C214" s="36">
        <v>40749</v>
      </c>
      <c r="D214" s="36" t="s">
        <v>233</v>
      </c>
      <c r="E214" s="36" t="s">
        <v>527</v>
      </c>
      <c r="F214" s="36" t="s">
        <v>760</v>
      </c>
      <c r="G214" s="36" t="s">
        <v>542</v>
      </c>
      <c r="H214" s="36" t="s">
        <v>529</v>
      </c>
      <c r="I214" s="37" t="s">
        <v>540</v>
      </c>
      <c r="J214" s="38">
        <v>1058.4000000000001</v>
      </c>
      <c r="K214" s="39">
        <v>15.29813675422238</v>
      </c>
      <c r="L214" s="39">
        <v>-3.0781656645427424</v>
      </c>
      <c r="M214" s="38" t="s">
        <v>539</v>
      </c>
      <c r="N214" s="38">
        <v>917.96799999999996</v>
      </c>
      <c r="O214" s="38">
        <v>1092.0139999999999</v>
      </c>
      <c r="P214" s="39" t="s">
        <v>540</v>
      </c>
      <c r="Q214" s="39" t="s">
        <v>540</v>
      </c>
      <c r="R214" s="40"/>
      <c r="S214" s="38">
        <v>148.69999999999999</v>
      </c>
      <c r="T214" s="39">
        <v>14.049508692365833</v>
      </c>
      <c r="U214" s="39">
        <v>392.31208444233977</v>
      </c>
      <c r="V214" s="38" t="s">
        <v>539</v>
      </c>
      <c r="W214" s="38">
        <v>92.957000000000207</v>
      </c>
      <c r="X214" s="38">
        <v>142.87299999999999</v>
      </c>
      <c r="Y214" s="39" t="s">
        <v>540</v>
      </c>
      <c r="Z214" s="39" t="s">
        <v>540</v>
      </c>
      <c r="AA214" s="41" t="s">
        <v>540</v>
      </c>
      <c r="AB214" s="42" t="s">
        <v>540</v>
      </c>
      <c r="AC214" s="40"/>
      <c r="AD214" s="43">
        <v>69.099999999999994</v>
      </c>
      <c r="AE214" s="39">
        <v>90.984218236090243</v>
      </c>
      <c r="AF214" s="39">
        <v>12.255507180453741</v>
      </c>
      <c r="AG214" s="43" t="s">
        <v>539</v>
      </c>
      <c r="AH214" s="43">
        <v>36.181000000000097</v>
      </c>
      <c r="AI214" s="43">
        <v>61.555999999999898</v>
      </c>
      <c r="AJ214" s="39" t="s">
        <v>539</v>
      </c>
      <c r="AK214" s="39" t="s">
        <v>539</v>
      </c>
      <c r="AL214" s="44"/>
      <c r="AM214" s="43">
        <v>69.099999999999994</v>
      </c>
      <c r="AN214" s="39">
        <v>90.978939804322565</v>
      </c>
      <c r="AO214" s="39">
        <v>12.253683577822173</v>
      </c>
      <c r="AP214" s="43" t="s">
        <v>539</v>
      </c>
      <c r="AQ214" s="43">
        <v>36.182000000000002</v>
      </c>
      <c r="AR214" s="43">
        <v>61.557000000000002</v>
      </c>
      <c r="AS214" s="39" t="s">
        <v>539</v>
      </c>
      <c r="AT214" s="39" t="s">
        <v>539</v>
      </c>
      <c r="AU214" s="1">
        <v>8171.2614268200005</v>
      </c>
    </row>
    <row r="215" spans="2:47" ht="18" customHeight="1" x14ac:dyDescent="0.25">
      <c r="B215" s="2">
        <f>IF(G215=$B$6,MAX(B$7:B214)+1,IF($B$6="Nifty 500 - All Sector",B214+1,0))</f>
        <v>0</v>
      </c>
      <c r="C215" s="36">
        <v>17136</v>
      </c>
      <c r="D215" s="36" t="s">
        <v>234</v>
      </c>
      <c r="E215" s="36" t="s">
        <v>527</v>
      </c>
      <c r="F215" s="36" t="s">
        <v>761</v>
      </c>
      <c r="G215" s="36" t="s">
        <v>591</v>
      </c>
      <c r="H215" s="36" t="s">
        <v>535</v>
      </c>
      <c r="I215" s="37" t="s">
        <v>540</v>
      </c>
      <c r="J215" s="38">
        <v>3775.4909090909086</v>
      </c>
      <c r="K215" s="39">
        <v>5.4258906028434417</v>
      </c>
      <c r="L215" s="39">
        <v>9.0215014161107998</v>
      </c>
      <c r="M215" s="38" t="s">
        <v>539</v>
      </c>
      <c r="N215" s="38">
        <v>3581.18</v>
      </c>
      <c r="O215" s="38">
        <v>3463.07</v>
      </c>
      <c r="P215" s="39" t="s">
        <v>540</v>
      </c>
      <c r="Q215" s="39" t="s">
        <v>540</v>
      </c>
      <c r="R215" s="40"/>
      <c r="S215" s="38">
        <v>727.05</v>
      </c>
      <c r="T215" s="39">
        <v>19.257098414655292</v>
      </c>
      <c r="U215" s="39">
        <v>-210.03871068767168</v>
      </c>
      <c r="V215" s="38" t="s">
        <v>539</v>
      </c>
      <c r="W215" s="38">
        <v>764.85</v>
      </c>
      <c r="X215" s="38">
        <v>557.5</v>
      </c>
      <c r="Y215" s="39" t="s">
        <v>540</v>
      </c>
      <c r="Z215" s="39" t="s">
        <v>540</v>
      </c>
      <c r="AA215" s="41" t="s">
        <v>540</v>
      </c>
      <c r="AB215" s="42" t="s">
        <v>540</v>
      </c>
      <c r="AC215" s="40"/>
      <c r="AD215" s="43">
        <v>341.4</v>
      </c>
      <c r="AE215" s="39">
        <v>-5.5314203492072274</v>
      </c>
      <c r="AF215" s="39">
        <v>96.636332219790333</v>
      </c>
      <c r="AG215" s="43" t="s">
        <v>539</v>
      </c>
      <c r="AH215" s="43">
        <v>361.39</v>
      </c>
      <c r="AI215" s="43">
        <v>173.62</v>
      </c>
      <c r="AJ215" s="39" t="s">
        <v>539</v>
      </c>
      <c r="AK215" s="39" t="s">
        <v>539</v>
      </c>
      <c r="AL215" s="44"/>
      <c r="AM215" s="43">
        <v>341.4</v>
      </c>
      <c r="AN215" s="39">
        <v>-5.2614052614052724</v>
      </c>
      <c r="AO215" s="39">
        <v>95.499055145164064</v>
      </c>
      <c r="AP215" s="43" t="s">
        <v>539</v>
      </c>
      <c r="AQ215" s="43">
        <v>360.36</v>
      </c>
      <c r="AR215" s="43">
        <v>174.63</v>
      </c>
      <c r="AS215" s="39" t="s">
        <v>539</v>
      </c>
      <c r="AT215" s="39" t="s">
        <v>539</v>
      </c>
      <c r="AU215" s="1">
        <v>41964.773459354998</v>
      </c>
    </row>
    <row r="216" spans="2:47" ht="18" customHeight="1" x14ac:dyDescent="0.25">
      <c r="B216" s="2">
        <f>IF(G216=$B$6,MAX(B$7:B215)+1,IF($B$6="Nifty 500 - All Sector",B215+1,0))</f>
        <v>0</v>
      </c>
      <c r="C216" s="36">
        <v>70921</v>
      </c>
      <c r="D216" s="36" t="s">
        <v>235</v>
      </c>
      <c r="E216" s="36" t="s">
        <v>527</v>
      </c>
      <c r="F216" s="36" t="s">
        <v>762</v>
      </c>
      <c r="G216" s="36" t="s">
        <v>591</v>
      </c>
      <c r="H216" s="36" t="s">
        <v>535</v>
      </c>
      <c r="I216" s="37" t="s">
        <v>540</v>
      </c>
      <c r="J216" s="38">
        <v>4379.961538461539</v>
      </c>
      <c r="K216" s="39">
        <v>7.0633473102307276</v>
      </c>
      <c r="L216" s="39">
        <v>24.927596647505389</v>
      </c>
      <c r="M216" s="38" t="s">
        <v>539</v>
      </c>
      <c r="N216" s="38">
        <v>4091</v>
      </c>
      <c r="O216" s="38">
        <v>3506</v>
      </c>
      <c r="P216" s="39" t="s">
        <v>540</v>
      </c>
      <c r="Q216" s="39" t="s">
        <v>540</v>
      </c>
      <c r="R216" s="40"/>
      <c r="S216" s="38">
        <v>842.83333333333326</v>
      </c>
      <c r="T216" s="39">
        <v>19.24293914300851</v>
      </c>
      <c r="U216" s="39">
        <v>-14.107454557618837</v>
      </c>
      <c r="V216" s="38" t="s">
        <v>539</v>
      </c>
      <c r="W216" s="38">
        <v>793</v>
      </c>
      <c r="X216" s="38">
        <v>602</v>
      </c>
      <c r="Y216" s="39" t="s">
        <v>540</v>
      </c>
      <c r="Z216" s="39" t="s">
        <v>540</v>
      </c>
      <c r="AA216" s="41" t="s">
        <v>540</v>
      </c>
      <c r="AB216" s="42" t="s">
        <v>540</v>
      </c>
      <c r="AC216" s="40"/>
      <c r="AD216" s="43">
        <v>342.41820000000001</v>
      </c>
      <c r="AE216" s="39">
        <v>-22.000410022779036</v>
      </c>
      <c r="AF216" s="39">
        <v>167.51421875</v>
      </c>
      <c r="AG216" s="43" t="s">
        <v>539</v>
      </c>
      <c r="AH216" s="43">
        <v>439</v>
      </c>
      <c r="AI216" s="43">
        <v>128</v>
      </c>
      <c r="AJ216" s="39" t="s">
        <v>539</v>
      </c>
      <c r="AK216" s="39" t="s">
        <v>539</v>
      </c>
      <c r="AL216" s="44"/>
      <c r="AM216" s="43">
        <v>342.41820000000001</v>
      </c>
      <c r="AN216" s="39">
        <v>-21.283172413793107</v>
      </c>
      <c r="AO216" s="39">
        <v>180.67065573770492</v>
      </c>
      <c r="AP216" s="43" t="s">
        <v>539</v>
      </c>
      <c r="AQ216" s="43">
        <v>435</v>
      </c>
      <c r="AR216" s="43">
        <v>122</v>
      </c>
      <c r="AS216" s="39" t="s">
        <v>539</v>
      </c>
      <c r="AT216" s="39" t="s">
        <v>539</v>
      </c>
      <c r="AU216" s="1">
        <v>37016.140824549999</v>
      </c>
    </row>
    <row r="217" spans="2:47" ht="18" customHeight="1" x14ac:dyDescent="0.25">
      <c r="B217" s="2">
        <f>IF(G217=$B$6,MAX(B$7:B216)+1,IF($B$6="Nifty 500 - All Sector",B216+1,0))</f>
        <v>0</v>
      </c>
      <c r="C217" s="36">
        <v>357</v>
      </c>
      <c r="D217" s="36" t="s">
        <v>236</v>
      </c>
      <c r="E217" s="36" t="s">
        <v>533</v>
      </c>
      <c r="F217" s="36" t="s">
        <v>763</v>
      </c>
      <c r="G217" s="36" t="s">
        <v>591</v>
      </c>
      <c r="H217" s="36" t="s">
        <v>529</v>
      </c>
      <c r="I217" s="37" t="s">
        <v>540</v>
      </c>
      <c r="J217" s="38">
        <v>2641.8636363636365</v>
      </c>
      <c r="K217" s="39">
        <v>10.448112893816198</v>
      </c>
      <c r="L217" s="39">
        <v>25.715628009271473</v>
      </c>
      <c r="M217" s="38" t="s">
        <v>539</v>
      </c>
      <c r="N217" s="38">
        <v>2391.9499999999998</v>
      </c>
      <c r="O217" s="38">
        <v>2101.46</v>
      </c>
      <c r="P217" s="39" t="s">
        <v>540</v>
      </c>
      <c r="Q217" s="39" t="s">
        <v>540</v>
      </c>
      <c r="R217" s="40"/>
      <c r="S217" s="38">
        <v>446.5</v>
      </c>
      <c r="T217" s="39">
        <v>16.900948022229485</v>
      </c>
      <c r="U217" s="39">
        <v>348.51157514880401</v>
      </c>
      <c r="V217" s="38" t="s">
        <v>539</v>
      </c>
      <c r="W217" s="38">
        <v>320.89999999999998</v>
      </c>
      <c r="X217" s="38">
        <v>280.83</v>
      </c>
      <c r="Y217" s="39" t="s">
        <v>540</v>
      </c>
      <c r="Z217" s="39" t="s">
        <v>540</v>
      </c>
      <c r="AA217" s="41" t="s">
        <v>540</v>
      </c>
      <c r="AB217" s="42" t="s">
        <v>540</v>
      </c>
      <c r="AC217" s="40"/>
      <c r="AD217" s="43">
        <v>118.25</v>
      </c>
      <c r="AE217" s="39">
        <v>281.57470151661829</v>
      </c>
      <c r="AF217" s="39">
        <v>-69.437336848362662</v>
      </c>
      <c r="AG217" s="43" t="s">
        <v>539</v>
      </c>
      <c r="AH217" s="43">
        <v>30.99</v>
      </c>
      <c r="AI217" s="43">
        <v>386.91</v>
      </c>
      <c r="AJ217" s="39" t="s">
        <v>539</v>
      </c>
      <c r="AK217" s="39" t="s">
        <v>539</v>
      </c>
      <c r="AL217" s="44"/>
      <c r="AM217" s="43">
        <v>118.25</v>
      </c>
      <c r="AN217" s="39">
        <v>281.57470151661829</v>
      </c>
      <c r="AO217" s="39">
        <v>-69.437336848362662</v>
      </c>
      <c r="AP217" s="43" t="s">
        <v>539</v>
      </c>
      <c r="AQ217" s="43">
        <v>30.99</v>
      </c>
      <c r="AR217" s="43">
        <v>386.91</v>
      </c>
      <c r="AS217" s="39" t="s">
        <v>539</v>
      </c>
      <c r="AT217" s="39" t="s">
        <v>539</v>
      </c>
      <c r="AU217" s="1">
        <v>23698.944252099998</v>
      </c>
    </row>
    <row r="218" spans="2:47" ht="18" customHeight="1" x14ac:dyDescent="0.25">
      <c r="B218" s="2">
        <f>IF(G218=$B$6,MAX(B$7:B217)+1,IF($B$6="Nifty 500 - All Sector",B217+1,0))</f>
        <v>0</v>
      </c>
      <c r="C218" s="36">
        <v>284</v>
      </c>
      <c r="D218" s="36" t="s">
        <v>237</v>
      </c>
      <c r="E218" s="36" t="s">
        <v>533</v>
      </c>
      <c r="F218" s="36" t="s">
        <v>764</v>
      </c>
      <c r="G218" s="36" t="s">
        <v>583</v>
      </c>
      <c r="H218" s="36" t="s">
        <v>535</v>
      </c>
      <c r="I218" s="37" t="s">
        <v>540</v>
      </c>
      <c r="J218" s="38" t="s">
        <v>539</v>
      </c>
      <c r="K218" s="39" t="s">
        <v>540</v>
      </c>
      <c r="L218" s="39" t="s">
        <v>540</v>
      </c>
      <c r="M218" s="38" t="s">
        <v>539</v>
      </c>
      <c r="N218" s="38">
        <v>591.875</v>
      </c>
      <c r="O218" s="38">
        <v>701.03399999999999</v>
      </c>
      <c r="P218" s="39" t="s">
        <v>540</v>
      </c>
      <c r="Q218" s="39" t="s">
        <v>540</v>
      </c>
      <c r="R218" s="40"/>
      <c r="S218" s="38" t="s">
        <v>539</v>
      </c>
      <c r="T218" s="39" t="s">
        <v>540</v>
      </c>
      <c r="U218" s="39" t="s">
        <v>540</v>
      </c>
      <c r="V218" s="38" t="s">
        <v>539</v>
      </c>
      <c r="W218" s="38">
        <v>209.86</v>
      </c>
      <c r="X218" s="38">
        <v>256.86</v>
      </c>
      <c r="Y218" s="39" t="s">
        <v>540</v>
      </c>
      <c r="Z218" s="39" t="s">
        <v>540</v>
      </c>
      <c r="AA218" s="41" t="s">
        <v>540</v>
      </c>
      <c r="AB218" s="42" t="s">
        <v>540</v>
      </c>
      <c r="AC218" s="40"/>
      <c r="AD218" s="43" t="s">
        <v>540</v>
      </c>
      <c r="AE218" s="39" t="s">
        <v>539</v>
      </c>
      <c r="AF218" s="39" t="s">
        <v>539</v>
      </c>
      <c r="AG218" s="43" t="s">
        <v>539</v>
      </c>
      <c r="AH218" s="43">
        <v>117.902</v>
      </c>
      <c r="AI218" s="43">
        <v>191.59</v>
      </c>
      <c r="AJ218" s="39" t="s">
        <v>539</v>
      </c>
      <c r="AK218" s="39" t="s">
        <v>539</v>
      </c>
      <c r="AL218" s="44"/>
      <c r="AM218" s="43" t="s">
        <v>539</v>
      </c>
      <c r="AN218" s="39" t="s">
        <v>539</v>
      </c>
      <c r="AO218" s="39" t="s">
        <v>539</v>
      </c>
      <c r="AP218" s="43" t="s">
        <v>539</v>
      </c>
      <c r="AQ218" s="43">
        <v>117.902</v>
      </c>
      <c r="AR218" s="43">
        <v>191.59</v>
      </c>
      <c r="AS218" s="39" t="s">
        <v>539</v>
      </c>
      <c r="AT218" s="39" t="s">
        <v>539</v>
      </c>
      <c r="AU218" s="1">
        <v>62315.049640525001</v>
      </c>
    </row>
    <row r="219" spans="2:47" ht="18" customHeight="1" x14ac:dyDescent="0.25">
      <c r="B219" s="2">
        <f>IF(G219=$B$6,MAX(B$7:B218)+1,IF($B$6="Nifty 500 - All Sector",B218+1,0))</f>
        <v>0</v>
      </c>
      <c r="C219" s="36">
        <v>74458</v>
      </c>
      <c r="D219" s="36" t="s">
        <v>238</v>
      </c>
      <c r="E219" s="36" t="s">
        <v>527</v>
      </c>
      <c r="F219" s="36" t="s">
        <v>765</v>
      </c>
      <c r="G219" s="36" t="s">
        <v>583</v>
      </c>
      <c r="H219" s="36" t="s">
        <v>535</v>
      </c>
      <c r="I219" s="37" t="s">
        <v>540</v>
      </c>
      <c r="J219" s="38">
        <v>1316.125</v>
      </c>
      <c r="K219" s="39">
        <v>7.4387755102040876</v>
      </c>
      <c r="L219" s="39">
        <v>15.856073943661976</v>
      </c>
      <c r="M219" s="38" t="s">
        <v>539</v>
      </c>
      <c r="N219" s="38">
        <v>1225</v>
      </c>
      <c r="O219" s="38">
        <v>1136</v>
      </c>
      <c r="P219" s="39" t="s">
        <v>540</v>
      </c>
      <c r="Q219" s="39" t="s">
        <v>540</v>
      </c>
      <c r="R219" s="40"/>
      <c r="S219" s="38">
        <v>325.89999999999998</v>
      </c>
      <c r="T219" s="39">
        <v>24.762085668154619</v>
      </c>
      <c r="U219" s="39">
        <v>141.51468926444153</v>
      </c>
      <c r="V219" s="38" t="s">
        <v>539</v>
      </c>
      <c r="W219" s="38">
        <v>286</v>
      </c>
      <c r="X219" s="38">
        <v>275</v>
      </c>
      <c r="Y219" s="39" t="s">
        <v>540</v>
      </c>
      <c r="Z219" s="39" t="s">
        <v>540</v>
      </c>
      <c r="AA219" s="41" t="s">
        <v>540</v>
      </c>
      <c r="AB219" s="42" t="s">
        <v>540</v>
      </c>
      <c r="AC219" s="40"/>
      <c r="AD219" s="43">
        <v>161.4</v>
      </c>
      <c r="AE219" s="39">
        <v>-15.497382198952881</v>
      </c>
      <c r="AF219" s="39">
        <v>58.235294117647072</v>
      </c>
      <c r="AG219" s="43" t="s">
        <v>539</v>
      </c>
      <c r="AH219" s="43">
        <v>191</v>
      </c>
      <c r="AI219" s="43">
        <v>102</v>
      </c>
      <c r="AJ219" s="39" t="s">
        <v>539</v>
      </c>
      <c r="AK219" s="39" t="s">
        <v>539</v>
      </c>
      <c r="AL219" s="44"/>
      <c r="AM219" s="43">
        <v>161.4</v>
      </c>
      <c r="AN219" s="39">
        <v>-15.497382198952881</v>
      </c>
      <c r="AO219" s="39">
        <v>56.69902912621361</v>
      </c>
      <c r="AP219" s="43" t="s">
        <v>539</v>
      </c>
      <c r="AQ219" s="43">
        <v>191</v>
      </c>
      <c r="AR219" s="43">
        <v>103</v>
      </c>
      <c r="AS219" s="39" t="s">
        <v>539</v>
      </c>
      <c r="AT219" s="39" t="s">
        <v>539</v>
      </c>
      <c r="AU219" s="1">
        <v>37169.944499999998</v>
      </c>
    </row>
    <row r="220" spans="2:47" ht="18" customHeight="1" x14ac:dyDescent="0.25">
      <c r="B220" s="2">
        <f>IF(G220=$B$6,MAX(B$7:B219)+1,IF($B$6="Nifty 500 - All Sector",B219+1,0))</f>
        <v>0</v>
      </c>
      <c r="C220" s="36">
        <v>2780</v>
      </c>
      <c r="D220" s="36" t="s">
        <v>239</v>
      </c>
      <c r="E220" s="36" t="s">
        <v>527</v>
      </c>
      <c r="F220" s="36" t="s">
        <v>766</v>
      </c>
      <c r="G220" s="36" t="s">
        <v>583</v>
      </c>
      <c r="H220" s="36" t="s">
        <v>529</v>
      </c>
      <c r="I220" s="37" t="s">
        <v>540</v>
      </c>
      <c r="J220" s="38" t="s">
        <v>539</v>
      </c>
      <c r="K220" s="39" t="s">
        <v>540</v>
      </c>
      <c r="L220" s="39" t="s">
        <v>540</v>
      </c>
      <c r="M220" s="38" t="s">
        <v>539</v>
      </c>
      <c r="N220" s="38">
        <v>1134.6400000000001</v>
      </c>
      <c r="O220" s="38">
        <v>1183.6199999999999</v>
      </c>
      <c r="P220" s="39" t="s">
        <v>540</v>
      </c>
      <c r="Q220" s="39" t="s">
        <v>540</v>
      </c>
      <c r="R220" s="40"/>
      <c r="S220" s="38" t="s">
        <v>539</v>
      </c>
      <c r="T220" s="39" t="s">
        <v>540</v>
      </c>
      <c r="U220" s="39" t="s">
        <v>540</v>
      </c>
      <c r="V220" s="38" t="s">
        <v>539</v>
      </c>
      <c r="W220" s="38">
        <v>233.31</v>
      </c>
      <c r="X220" s="38">
        <v>242.61</v>
      </c>
      <c r="Y220" s="39" t="s">
        <v>540</v>
      </c>
      <c r="Z220" s="39" t="s">
        <v>540</v>
      </c>
      <c r="AA220" s="41" t="s">
        <v>540</v>
      </c>
      <c r="AB220" s="42" t="s">
        <v>540</v>
      </c>
      <c r="AC220" s="40"/>
      <c r="AD220" s="43" t="s">
        <v>540</v>
      </c>
      <c r="AE220" s="39" t="s">
        <v>539</v>
      </c>
      <c r="AF220" s="39" t="s">
        <v>539</v>
      </c>
      <c r="AG220" s="43" t="s">
        <v>539</v>
      </c>
      <c r="AH220" s="43">
        <v>155.46</v>
      </c>
      <c r="AI220" s="43">
        <v>192.04</v>
      </c>
      <c r="AJ220" s="39" t="s">
        <v>539</v>
      </c>
      <c r="AK220" s="39" t="s">
        <v>539</v>
      </c>
      <c r="AL220" s="44"/>
      <c r="AM220" s="43" t="s">
        <v>539</v>
      </c>
      <c r="AN220" s="39" t="s">
        <v>539</v>
      </c>
      <c r="AO220" s="39" t="s">
        <v>539</v>
      </c>
      <c r="AP220" s="43" t="s">
        <v>539</v>
      </c>
      <c r="AQ220" s="43">
        <v>155.58000000000001</v>
      </c>
      <c r="AR220" s="43">
        <v>192.2</v>
      </c>
      <c r="AS220" s="39" t="s">
        <v>539</v>
      </c>
      <c r="AT220" s="39" t="s">
        <v>539</v>
      </c>
      <c r="AU220" s="1">
        <v>24750.288138945001</v>
      </c>
    </row>
    <row r="221" spans="2:47" ht="18" customHeight="1" x14ac:dyDescent="0.25">
      <c r="B221" s="2">
        <f>IF(G221=$B$6,MAX(B$7:B220)+1,IF($B$6="Nifty 500 - All Sector",B220+1,0))</f>
        <v>0</v>
      </c>
      <c r="C221" s="36">
        <v>136</v>
      </c>
      <c r="D221" s="36" t="s">
        <v>240</v>
      </c>
      <c r="E221" s="36" t="s">
        <v>527</v>
      </c>
      <c r="F221" s="36" t="s">
        <v>767</v>
      </c>
      <c r="G221" s="36" t="s">
        <v>583</v>
      </c>
      <c r="H221" s="36" t="s">
        <v>529</v>
      </c>
      <c r="I221" s="37" t="s">
        <v>540</v>
      </c>
      <c r="J221" s="38">
        <v>2153.2142857142853</v>
      </c>
      <c r="K221" s="39">
        <v>-1.2146550328585581</v>
      </c>
      <c r="L221" s="39">
        <v>9.0251642158759573</v>
      </c>
      <c r="M221" s="38" t="s">
        <v>539</v>
      </c>
      <c r="N221" s="38">
        <v>2179.69</v>
      </c>
      <c r="O221" s="38">
        <v>1974.97</v>
      </c>
      <c r="P221" s="39" t="s">
        <v>540</v>
      </c>
      <c r="Q221" s="39" t="s">
        <v>540</v>
      </c>
      <c r="R221" s="40"/>
      <c r="S221" s="38">
        <v>249.24444444444447</v>
      </c>
      <c r="T221" s="39">
        <v>11.575459353863735</v>
      </c>
      <c r="U221" s="39">
        <v>-294.54128802612996</v>
      </c>
      <c r="V221" s="38" t="s">
        <v>539</v>
      </c>
      <c r="W221" s="38">
        <v>316.51</v>
      </c>
      <c r="X221" s="38">
        <v>210.9</v>
      </c>
      <c r="Y221" s="39" t="s">
        <v>540</v>
      </c>
      <c r="Z221" s="39" t="s">
        <v>540</v>
      </c>
      <c r="AA221" s="41" t="s">
        <v>540</v>
      </c>
      <c r="AB221" s="42" t="s">
        <v>540</v>
      </c>
      <c r="AC221" s="40"/>
      <c r="AD221" s="43">
        <v>151.76249999999999</v>
      </c>
      <c r="AE221" s="39">
        <v>-25.055555555555564</v>
      </c>
      <c r="AF221" s="39">
        <v>52.036165097174433</v>
      </c>
      <c r="AG221" s="43" t="s">
        <v>539</v>
      </c>
      <c r="AH221" s="43">
        <v>202.5</v>
      </c>
      <c r="AI221" s="43">
        <v>99.820000000000306</v>
      </c>
      <c r="AJ221" s="39" t="s">
        <v>539</v>
      </c>
      <c r="AK221" s="39" t="s">
        <v>539</v>
      </c>
      <c r="AL221" s="44"/>
      <c r="AM221" s="43">
        <v>151.76249999999999</v>
      </c>
      <c r="AN221" s="39">
        <v>-25.022232103156959</v>
      </c>
      <c r="AO221" s="39">
        <v>52.081871931055204</v>
      </c>
      <c r="AP221" s="43" t="s">
        <v>539</v>
      </c>
      <c r="AQ221" s="43">
        <v>202.41</v>
      </c>
      <c r="AR221" s="43">
        <v>99.79</v>
      </c>
      <c r="AS221" s="39" t="s">
        <v>539</v>
      </c>
      <c r="AT221" s="39" t="s">
        <v>539</v>
      </c>
      <c r="AU221" s="1">
        <v>20739.925814459999</v>
      </c>
    </row>
    <row r="222" spans="2:47" ht="18" customHeight="1" x14ac:dyDescent="0.25">
      <c r="B222" s="2">
        <f>IF(G222=$B$6,MAX(B$7:B221)+1,IF($B$6="Nifty 500 - All Sector",B221+1,0))</f>
        <v>0</v>
      </c>
      <c r="C222" s="36">
        <v>552</v>
      </c>
      <c r="D222" s="36" t="s">
        <v>241</v>
      </c>
      <c r="E222" s="36" t="s">
        <v>527</v>
      </c>
      <c r="F222" s="36" t="s">
        <v>768</v>
      </c>
      <c r="G222" s="36" t="s">
        <v>583</v>
      </c>
      <c r="H222" s="36" t="s">
        <v>529</v>
      </c>
      <c r="I222" s="37" t="s">
        <v>540</v>
      </c>
      <c r="J222" s="38">
        <v>3605.2750000000001</v>
      </c>
      <c r="K222" s="39">
        <v>2.7436591621544659</v>
      </c>
      <c r="L222" s="39">
        <v>1.5570422535211348</v>
      </c>
      <c r="M222" s="38" t="s">
        <v>539</v>
      </c>
      <c r="N222" s="38">
        <v>3509</v>
      </c>
      <c r="O222" s="38">
        <v>3550</v>
      </c>
      <c r="P222" s="39" t="s">
        <v>540</v>
      </c>
      <c r="Q222" s="39" t="s">
        <v>540</v>
      </c>
      <c r="R222" s="40"/>
      <c r="S222" s="38">
        <v>370.66666666666663</v>
      </c>
      <c r="T222" s="39">
        <v>10.281231436344429</v>
      </c>
      <c r="U222" s="39">
        <v>96.233716447209972</v>
      </c>
      <c r="V222" s="38" t="s">
        <v>539</v>
      </c>
      <c r="W222" s="38">
        <v>327</v>
      </c>
      <c r="X222" s="38">
        <v>345</v>
      </c>
      <c r="Y222" s="39" t="s">
        <v>540</v>
      </c>
      <c r="Z222" s="39" t="s">
        <v>540</v>
      </c>
      <c r="AA222" s="41" t="s">
        <v>540</v>
      </c>
      <c r="AB222" s="42" t="s">
        <v>540</v>
      </c>
      <c r="AC222" s="40"/>
      <c r="AD222" s="43">
        <v>17.100000000000001</v>
      </c>
      <c r="AE222" s="39" t="s">
        <v>547</v>
      </c>
      <c r="AF222" s="39" t="s">
        <v>547</v>
      </c>
      <c r="AG222" s="43" t="s">
        <v>539</v>
      </c>
      <c r="AH222" s="43">
        <v>-91</v>
      </c>
      <c r="AI222" s="43">
        <v>-106</v>
      </c>
      <c r="AJ222" s="39" t="s">
        <v>547</v>
      </c>
      <c r="AK222" s="39" t="s">
        <v>547</v>
      </c>
      <c r="AL222" s="44"/>
      <c r="AM222" s="43">
        <v>17.100000000000001</v>
      </c>
      <c r="AN222" s="39" t="s">
        <v>547</v>
      </c>
      <c r="AO222" s="39" t="s">
        <v>547</v>
      </c>
      <c r="AP222" s="43" t="s">
        <v>539</v>
      </c>
      <c r="AQ222" s="43">
        <v>-56</v>
      </c>
      <c r="AR222" s="43">
        <v>-93</v>
      </c>
      <c r="AS222" s="39" t="s">
        <v>547</v>
      </c>
      <c r="AT222" s="39" t="s">
        <v>547</v>
      </c>
      <c r="AU222" s="1">
        <v>18339.904453219999</v>
      </c>
    </row>
    <row r="223" spans="2:47" ht="18" customHeight="1" x14ac:dyDescent="0.25">
      <c r="B223" s="2">
        <f>IF(G223=$B$6,MAX(B$7:B222)+1,IF($B$6="Nifty 500 - All Sector",B222+1,0))</f>
        <v>0</v>
      </c>
      <c r="C223" s="36">
        <v>2378</v>
      </c>
      <c r="D223" s="36" t="s">
        <v>242</v>
      </c>
      <c r="E223" s="36" t="s">
        <v>527</v>
      </c>
      <c r="F223" s="36" t="s">
        <v>769</v>
      </c>
      <c r="G223" s="36" t="s">
        <v>583</v>
      </c>
      <c r="H223" s="36" t="s">
        <v>529</v>
      </c>
      <c r="I223" s="37" t="s">
        <v>540</v>
      </c>
      <c r="J223" s="38">
        <v>2269.2666666666669</v>
      </c>
      <c r="K223" s="39">
        <v>16.432358474431339</v>
      </c>
      <c r="L223" s="39">
        <v>-2.1446025585740935</v>
      </c>
      <c r="M223" s="38" t="s">
        <v>539</v>
      </c>
      <c r="N223" s="38">
        <v>1949</v>
      </c>
      <c r="O223" s="38">
        <v>2319</v>
      </c>
      <c r="P223" s="39" t="s">
        <v>540</v>
      </c>
      <c r="Q223" s="39" t="s">
        <v>540</v>
      </c>
      <c r="R223" s="40"/>
      <c r="S223" s="38">
        <v>317.72222222222223</v>
      </c>
      <c r="T223" s="39">
        <v>14.001096781143197</v>
      </c>
      <c r="U223" s="39">
        <v>25.04554266024055</v>
      </c>
      <c r="V223" s="38" t="s">
        <v>539</v>
      </c>
      <c r="W223" s="38">
        <v>268</v>
      </c>
      <c r="X223" s="38">
        <v>322</v>
      </c>
      <c r="Y223" s="39" t="s">
        <v>540</v>
      </c>
      <c r="Z223" s="39" t="s">
        <v>540</v>
      </c>
      <c r="AA223" s="41" t="s">
        <v>540</v>
      </c>
      <c r="AB223" s="42" t="s">
        <v>540</v>
      </c>
      <c r="AC223" s="40"/>
      <c r="AD223" s="43">
        <v>114.2818</v>
      </c>
      <c r="AE223" s="39">
        <v>19.043541666666663</v>
      </c>
      <c r="AF223" s="39">
        <v>-14.073834586466161</v>
      </c>
      <c r="AG223" s="43" t="s">
        <v>539</v>
      </c>
      <c r="AH223" s="43">
        <v>96</v>
      </c>
      <c r="AI223" s="43">
        <v>133</v>
      </c>
      <c r="AJ223" s="39" t="s">
        <v>539</v>
      </c>
      <c r="AK223" s="39" t="s">
        <v>539</v>
      </c>
      <c r="AL223" s="44"/>
      <c r="AM223" s="43">
        <v>114.2818</v>
      </c>
      <c r="AN223" s="39">
        <v>19.043541666666663</v>
      </c>
      <c r="AO223" s="39">
        <v>-14.073834586466161</v>
      </c>
      <c r="AP223" s="43" t="s">
        <v>539</v>
      </c>
      <c r="AQ223" s="43">
        <v>96</v>
      </c>
      <c r="AR223" s="43">
        <v>133</v>
      </c>
      <c r="AS223" s="39" t="s">
        <v>539</v>
      </c>
      <c r="AT223" s="39" t="s">
        <v>539</v>
      </c>
      <c r="AU223" s="1">
        <v>15645.952286649999</v>
      </c>
    </row>
    <row r="224" spans="2:47" ht="18" customHeight="1" x14ac:dyDescent="0.25">
      <c r="B224" s="2">
        <f>IF(G224=$B$6,MAX(B$7:B223)+1,IF($B$6="Nifty 500 - All Sector",B223+1,0))</f>
        <v>0</v>
      </c>
      <c r="C224" s="36">
        <v>66893</v>
      </c>
      <c r="D224" s="36" t="s">
        <v>243</v>
      </c>
      <c r="E224" s="36" t="s">
        <v>527</v>
      </c>
      <c r="F224" s="36" t="s">
        <v>770</v>
      </c>
      <c r="G224" s="36" t="s">
        <v>583</v>
      </c>
      <c r="H224" s="36" t="s">
        <v>529</v>
      </c>
      <c r="I224" s="37" t="s">
        <v>540</v>
      </c>
      <c r="J224" s="38">
        <v>256.10000000000002</v>
      </c>
      <c r="K224" s="39">
        <v>-48.796180406991382</v>
      </c>
      <c r="L224" s="39">
        <v>-50.024100053273798</v>
      </c>
      <c r="M224" s="38" t="s">
        <v>539</v>
      </c>
      <c r="N224" s="38">
        <v>500.15800000000002</v>
      </c>
      <c r="O224" s="38">
        <v>512.447</v>
      </c>
      <c r="P224" s="39" t="s">
        <v>540</v>
      </c>
      <c r="Q224" s="39" t="s">
        <v>540</v>
      </c>
      <c r="R224" s="40"/>
      <c r="S224" s="38">
        <v>85.7</v>
      </c>
      <c r="T224" s="39">
        <v>33.463490823896912</v>
      </c>
      <c r="U224" s="39">
        <v>458.16174958685673</v>
      </c>
      <c r="V224" s="38" t="s">
        <v>539</v>
      </c>
      <c r="W224" s="38">
        <v>144.45500000000001</v>
      </c>
      <c r="X224" s="38">
        <v>127.48</v>
      </c>
      <c r="Y224" s="39" t="s">
        <v>540</v>
      </c>
      <c r="Z224" s="39" t="s">
        <v>540</v>
      </c>
      <c r="AA224" s="41" t="s">
        <v>540</v>
      </c>
      <c r="AB224" s="42" t="s">
        <v>540</v>
      </c>
      <c r="AC224" s="40"/>
      <c r="AD224" s="43">
        <v>14.6</v>
      </c>
      <c r="AE224" s="39">
        <v>-76.798881261123825</v>
      </c>
      <c r="AF224" s="39">
        <v>-75.90480748601324</v>
      </c>
      <c r="AG224" s="43" t="s">
        <v>539</v>
      </c>
      <c r="AH224" s="43">
        <v>62.927999999999997</v>
      </c>
      <c r="AI224" s="43">
        <v>60.593000000000004</v>
      </c>
      <c r="AJ224" s="39" t="s">
        <v>539</v>
      </c>
      <c r="AK224" s="39" t="s">
        <v>539</v>
      </c>
      <c r="AL224" s="44"/>
      <c r="AM224" s="43">
        <v>14.6</v>
      </c>
      <c r="AN224" s="39">
        <v>-67.240334776852833</v>
      </c>
      <c r="AO224" s="39">
        <v>-70.228992067861583</v>
      </c>
      <c r="AP224" s="43" t="s">
        <v>539</v>
      </c>
      <c r="AQ224" s="43">
        <v>44.567</v>
      </c>
      <c r="AR224" s="43">
        <v>49.040999999999997</v>
      </c>
      <c r="AS224" s="39" t="s">
        <v>539</v>
      </c>
      <c r="AT224" s="39" t="s">
        <v>539</v>
      </c>
      <c r="AU224" s="1">
        <v>14646.01583995</v>
      </c>
    </row>
    <row r="225" spans="2:47" ht="18" customHeight="1" x14ac:dyDescent="0.25">
      <c r="B225" s="2">
        <f>IF(G225=$B$6,MAX(B$7:B224)+1,IF($B$6="Nifty 500 - All Sector",B224+1,0))</f>
        <v>0</v>
      </c>
      <c r="C225" s="36">
        <v>135</v>
      </c>
      <c r="D225" s="36" t="s">
        <v>244</v>
      </c>
      <c r="E225" s="36" t="s">
        <v>527</v>
      </c>
      <c r="F225" s="36" t="s">
        <v>771</v>
      </c>
      <c r="G225" s="36" t="s">
        <v>583</v>
      </c>
      <c r="H225" s="36" t="s">
        <v>529</v>
      </c>
      <c r="I225" s="37" t="s">
        <v>540</v>
      </c>
      <c r="J225" s="38">
        <v>2333.1</v>
      </c>
      <c r="K225" s="39">
        <v>-12.531163889253383</v>
      </c>
      <c r="L225" s="39">
        <v>-17.560343030384416</v>
      </c>
      <c r="M225" s="38" t="s">
        <v>539</v>
      </c>
      <c r="N225" s="38">
        <v>2667.35</v>
      </c>
      <c r="O225" s="38">
        <v>2830.07</v>
      </c>
      <c r="P225" s="39" t="s">
        <v>540</v>
      </c>
      <c r="Q225" s="39" t="s">
        <v>540</v>
      </c>
      <c r="R225" s="40"/>
      <c r="S225" s="38">
        <v>343.9</v>
      </c>
      <c r="T225" s="39">
        <v>14.740045433114741</v>
      </c>
      <c r="U225" s="39">
        <v>-325.49683446047197</v>
      </c>
      <c r="V225" s="38" t="s">
        <v>539</v>
      </c>
      <c r="W225" s="38">
        <v>479.99</v>
      </c>
      <c r="X225" s="38">
        <v>353.14000000000101</v>
      </c>
      <c r="Y225" s="39" t="s">
        <v>540</v>
      </c>
      <c r="Z225" s="39" t="s">
        <v>540</v>
      </c>
      <c r="AA225" s="41" t="s">
        <v>540</v>
      </c>
      <c r="AB225" s="42" t="s">
        <v>540</v>
      </c>
      <c r="AC225" s="40"/>
      <c r="AD225" s="43">
        <v>163.9</v>
      </c>
      <c r="AE225" s="39">
        <v>-41.013460015835314</v>
      </c>
      <c r="AF225" s="39">
        <v>15.838575164322567</v>
      </c>
      <c r="AG225" s="43" t="s">
        <v>539</v>
      </c>
      <c r="AH225" s="43">
        <v>277.86</v>
      </c>
      <c r="AI225" s="43">
        <v>141.49</v>
      </c>
      <c r="AJ225" s="39" t="s">
        <v>539</v>
      </c>
      <c r="AK225" s="39" t="s">
        <v>539</v>
      </c>
      <c r="AL225" s="44"/>
      <c r="AM225" s="43">
        <v>163.9</v>
      </c>
      <c r="AN225" s="39">
        <v>-40.881546674361566</v>
      </c>
      <c r="AO225" s="39">
        <v>15.838575164322567</v>
      </c>
      <c r="AP225" s="43" t="s">
        <v>539</v>
      </c>
      <c r="AQ225" s="43">
        <v>277.24</v>
      </c>
      <c r="AR225" s="43">
        <v>141.49</v>
      </c>
      <c r="AS225" s="39" t="s">
        <v>539</v>
      </c>
      <c r="AT225" s="39" t="s">
        <v>539</v>
      </c>
      <c r="AU225" s="1">
        <v>15378.13965375</v>
      </c>
    </row>
    <row r="226" spans="2:47" ht="18" customHeight="1" x14ac:dyDescent="0.25">
      <c r="B226" s="2">
        <f>IF(G226=$B$6,MAX(B$7:B225)+1,IF($B$6="Nifty 500 - All Sector",B225+1,0))</f>
        <v>0</v>
      </c>
      <c r="C226" s="36">
        <v>12375</v>
      </c>
      <c r="D226" s="36" t="s">
        <v>245</v>
      </c>
      <c r="E226" s="36" t="s">
        <v>527</v>
      </c>
      <c r="F226" s="36" t="s">
        <v>772</v>
      </c>
      <c r="G226" s="36" t="s">
        <v>583</v>
      </c>
      <c r="H226" s="36" t="s">
        <v>529</v>
      </c>
      <c r="I226" s="37" t="s">
        <v>540</v>
      </c>
      <c r="J226" s="38" t="s">
        <v>539</v>
      </c>
      <c r="K226" s="39" t="s">
        <v>540</v>
      </c>
      <c r="L226" s="39" t="s">
        <v>540</v>
      </c>
      <c r="M226" s="38" t="s">
        <v>539</v>
      </c>
      <c r="N226" s="38">
        <v>3494.02</v>
      </c>
      <c r="O226" s="38">
        <v>5748.67</v>
      </c>
      <c r="P226" s="39" t="s">
        <v>540</v>
      </c>
      <c r="Q226" s="39" t="s">
        <v>540</v>
      </c>
      <c r="R226" s="40"/>
      <c r="S226" s="38" t="s">
        <v>539</v>
      </c>
      <c r="T226" s="39" t="s">
        <v>540</v>
      </c>
      <c r="U226" s="39" t="s">
        <v>540</v>
      </c>
      <c r="V226" s="38" t="s">
        <v>539</v>
      </c>
      <c r="W226" s="38">
        <v>347.07</v>
      </c>
      <c r="X226" s="38">
        <v>472.48999999999899</v>
      </c>
      <c r="Y226" s="39" t="s">
        <v>540</v>
      </c>
      <c r="Z226" s="39" t="s">
        <v>540</v>
      </c>
      <c r="AA226" s="41" t="s">
        <v>540</v>
      </c>
      <c r="AB226" s="42" t="s">
        <v>540</v>
      </c>
      <c r="AC226" s="40"/>
      <c r="AD226" s="43" t="s">
        <v>540</v>
      </c>
      <c r="AE226" s="39" t="s">
        <v>539</v>
      </c>
      <c r="AF226" s="39" t="s">
        <v>539</v>
      </c>
      <c r="AG226" s="43" t="s">
        <v>539</v>
      </c>
      <c r="AH226" s="43">
        <v>160.03</v>
      </c>
      <c r="AI226" s="43">
        <v>182.05</v>
      </c>
      <c r="AJ226" s="39" t="s">
        <v>539</v>
      </c>
      <c r="AK226" s="39" t="s">
        <v>539</v>
      </c>
      <c r="AL226" s="44"/>
      <c r="AM226" s="43" t="s">
        <v>539</v>
      </c>
      <c r="AN226" s="39" t="s">
        <v>539</v>
      </c>
      <c r="AO226" s="39" t="s">
        <v>539</v>
      </c>
      <c r="AP226" s="43" t="s">
        <v>539</v>
      </c>
      <c r="AQ226" s="43">
        <v>160.03</v>
      </c>
      <c r="AR226" s="43">
        <v>182.06</v>
      </c>
      <c r="AS226" s="39" t="s">
        <v>539</v>
      </c>
      <c r="AT226" s="39" t="s">
        <v>539</v>
      </c>
      <c r="AU226" s="1">
        <v>12717.589776500001</v>
      </c>
    </row>
    <row r="227" spans="2:47" ht="18" customHeight="1" x14ac:dyDescent="0.25">
      <c r="B227" s="2">
        <f>IF(G227=$B$6,MAX(B$7:B226)+1,IF($B$6="Nifty 500 - All Sector",B226+1,0))</f>
        <v>0</v>
      </c>
      <c r="C227" s="36">
        <v>435</v>
      </c>
      <c r="D227" s="36" t="s">
        <v>246</v>
      </c>
      <c r="E227" s="36" t="s">
        <v>527</v>
      </c>
      <c r="F227" s="36" t="s">
        <v>773</v>
      </c>
      <c r="G227" s="36" t="s">
        <v>583</v>
      </c>
      <c r="H227" s="36" t="s">
        <v>529</v>
      </c>
      <c r="I227" s="37" t="s">
        <v>540</v>
      </c>
      <c r="J227" s="38">
        <v>1898.95</v>
      </c>
      <c r="K227" s="39">
        <v>-9.0318995540098257</v>
      </c>
      <c r="L227" s="39">
        <v>2.8895438931090922</v>
      </c>
      <c r="M227" s="38" t="s">
        <v>539</v>
      </c>
      <c r="N227" s="38">
        <v>2087.4899999999998</v>
      </c>
      <c r="O227" s="38">
        <v>1845.62</v>
      </c>
      <c r="P227" s="39" t="s">
        <v>540</v>
      </c>
      <c r="Q227" s="39" t="s">
        <v>540</v>
      </c>
      <c r="R227" s="40"/>
      <c r="S227" s="38">
        <v>223.85</v>
      </c>
      <c r="T227" s="39">
        <v>11.788093420047922</v>
      </c>
      <c r="U227" s="39">
        <v>-247.11365642873346</v>
      </c>
      <c r="V227" s="38" t="s">
        <v>539</v>
      </c>
      <c r="W227" s="38">
        <v>297.66000000000003</v>
      </c>
      <c r="X227" s="38">
        <v>214.65</v>
      </c>
      <c r="Y227" s="39" t="s">
        <v>540</v>
      </c>
      <c r="Z227" s="39" t="s">
        <v>540</v>
      </c>
      <c r="AA227" s="41" t="s">
        <v>540</v>
      </c>
      <c r="AB227" s="42" t="s">
        <v>540</v>
      </c>
      <c r="AC227" s="40"/>
      <c r="AD227" s="43">
        <v>61.225000000000001</v>
      </c>
      <c r="AE227" s="39">
        <v>-38.891106896895899</v>
      </c>
      <c r="AF227" s="39">
        <v>2930.940594059256</v>
      </c>
      <c r="AG227" s="43" t="s">
        <v>539</v>
      </c>
      <c r="AH227" s="43">
        <v>100.19</v>
      </c>
      <c r="AI227" s="43">
        <v>2.0200000000000999</v>
      </c>
      <c r="AJ227" s="39" t="s">
        <v>539</v>
      </c>
      <c r="AK227" s="39" t="s">
        <v>539</v>
      </c>
      <c r="AL227" s="44"/>
      <c r="AM227" s="43">
        <v>61.225000000000001</v>
      </c>
      <c r="AN227" s="39">
        <v>-38.872803514376997</v>
      </c>
      <c r="AO227" s="39">
        <v>2916.0098522167491</v>
      </c>
      <c r="AP227" s="43" t="s">
        <v>539</v>
      </c>
      <c r="AQ227" s="43">
        <v>100.16</v>
      </c>
      <c r="AR227" s="43">
        <v>2.0299999999999998</v>
      </c>
      <c r="AS227" s="39" t="s">
        <v>539</v>
      </c>
      <c r="AT227" s="39" t="s">
        <v>539</v>
      </c>
      <c r="AU227" s="1">
        <v>11028.75679012</v>
      </c>
    </row>
    <row r="228" spans="2:47" ht="18" customHeight="1" x14ac:dyDescent="0.25">
      <c r="B228" s="2">
        <f>IF(G228=$B$6,MAX(B$7:B227)+1,IF($B$6="Nifty 500 - All Sector",B227+1,0))</f>
        <v>0</v>
      </c>
      <c r="C228" s="36">
        <v>75293</v>
      </c>
      <c r="D228" s="36" t="s">
        <v>247</v>
      </c>
      <c r="E228" s="36" t="s">
        <v>527</v>
      </c>
      <c r="F228" s="36" t="s">
        <v>774</v>
      </c>
      <c r="G228" s="36" t="s">
        <v>583</v>
      </c>
      <c r="H228" s="36" t="s">
        <v>529</v>
      </c>
      <c r="I228" s="37" t="s">
        <v>540</v>
      </c>
      <c r="J228" s="38" t="s">
        <v>539</v>
      </c>
      <c r="K228" s="39" t="s">
        <v>540</v>
      </c>
      <c r="L228" s="39" t="s">
        <v>540</v>
      </c>
      <c r="M228" s="38" t="s">
        <v>539</v>
      </c>
      <c r="N228" s="38">
        <v>1051.26</v>
      </c>
      <c r="O228" s="38">
        <v>1050.99</v>
      </c>
      <c r="P228" s="39" t="s">
        <v>540</v>
      </c>
      <c r="Q228" s="39" t="s">
        <v>540</v>
      </c>
      <c r="R228" s="40"/>
      <c r="S228" s="38" t="s">
        <v>539</v>
      </c>
      <c r="T228" s="39" t="s">
        <v>540</v>
      </c>
      <c r="U228" s="39" t="s">
        <v>540</v>
      </c>
      <c r="V228" s="38" t="s">
        <v>539</v>
      </c>
      <c r="W228" s="38">
        <v>146.69</v>
      </c>
      <c r="X228" s="38">
        <v>126.55</v>
      </c>
      <c r="Y228" s="39" t="s">
        <v>540</v>
      </c>
      <c r="Z228" s="39" t="s">
        <v>540</v>
      </c>
      <c r="AA228" s="41" t="s">
        <v>540</v>
      </c>
      <c r="AB228" s="42" t="s">
        <v>540</v>
      </c>
      <c r="AC228" s="40"/>
      <c r="AD228" s="43" t="s">
        <v>540</v>
      </c>
      <c r="AE228" s="39" t="s">
        <v>539</v>
      </c>
      <c r="AF228" s="39" t="s">
        <v>539</v>
      </c>
      <c r="AG228" s="43" t="s">
        <v>539</v>
      </c>
      <c r="AH228" s="43">
        <v>74.020000000000195</v>
      </c>
      <c r="AI228" s="43">
        <v>46.919999999999902</v>
      </c>
      <c r="AJ228" s="39" t="s">
        <v>539</v>
      </c>
      <c r="AK228" s="39" t="s">
        <v>539</v>
      </c>
      <c r="AL228" s="44"/>
      <c r="AM228" s="43" t="s">
        <v>539</v>
      </c>
      <c r="AN228" s="39" t="s">
        <v>539</v>
      </c>
      <c r="AO228" s="39" t="s">
        <v>539</v>
      </c>
      <c r="AP228" s="43" t="s">
        <v>539</v>
      </c>
      <c r="AQ228" s="43">
        <v>74.05</v>
      </c>
      <c r="AR228" s="43">
        <v>46.9</v>
      </c>
      <c r="AS228" s="39" t="s">
        <v>539</v>
      </c>
      <c r="AT228" s="39" t="s">
        <v>539</v>
      </c>
      <c r="AU228" s="1">
        <v>10630.423216859999</v>
      </c>
    </row>
    <row r="229" spans="2:47" ht="18" customHeight="1" x14ac:dyDescent="0.25">
      <c r="B229" s="2">
        <f>IF(G229=$B$6,MAX(B$7:B228)+1,IF($B$6="Nifty 500 - All Sector",B228+1,0))</f>
        <v>0</v>
      </c>
      <c r="C229" s="36">
        <v>66797</v>
      </c>
      <c r="D229" s="36" t="s">
        <v>248</v>
      </c>
      <c r="E229" s="36" t="s">
        <v>527</v>
      </c>
      <c r="F229" s="36" t="s">
        <v>775</v>
      </c>
      <c r="G229" s="36" t="s">
        <v>583</v>
      </c>
      <c r="H229" s="36" t="s">
        <v>529</v>
      </c>
      <c r="I229" s="37" t="s">
        <v>540</v>
      </c>
      <c r="J229" s="38">
        <v>246.04285714285712</v>
      </c>
      <c r="K229" s="39">
        <v>-6.6899052487808808</v>
      </c>
      <c r="L229" s="39">
        <v>12.005670843928229</v>
      </c>
      <c r="M229" s="38" t="s">
        <v>539</v>
      </c>
      <c r="N229" s="38">
        <v>263.68299999999999</v>
      </c>
      <c r="O229" s="38">
        <v>219.67</v>
      </c>
      <c r="P229" s="39" t="s">
        <v>540</v>
      </c>
      <c r="Q229" s="39" t="s">
        <v>540</v>
      </c>
      <c r="R229" s="40"/>
      <c r="S229" s="38">
        <v>82.587500000000006</v>
      </c>
      <c r="T229" s="39">
        <v>33.566306682924001</v>
      </c>
      <c r="U229" s="39">
        <v>-617.34565934343595</v>
      </c>
      <c r="V229" s="38" t="s">
        <v>539</v>
      </c>
      <c r="W229" s="38">
        <v>104.78700000000001</v>
      </c>
      <c r="X229" s="38">
        <v>72.19</v>
      </c>
      <c r="Y229" s="39" t="s">
        <v>540</v>
      </c>
      <c r="Z229" s="39" t="s">
        <v>540</v>
      </c>
      <c r="AA229" s="41" t="s">
        <v>540</v>
      </c>
      <c r="AB229" s="42" t="s">
        <v>540</v>
      </c>
      <c r="AC229" s="40"/>
      <c r="AD229" s="43">
        <v>52.424999999999997</v>
      </c>
      <c r="AE229" s="39">
        <v>-29.243373103708905</v>
      </c>
      <c r="AF229" s="39">
        <v>14.255513904629048</v>
      </c>
      <c r="AG229" s="43" t="s">
        <v>539</v>
      </c>
      <c r="AH229" s="43">
        <v>74.091999999999999</v>
      </c>
      <c r="AI229" s="43">
        <v>45.884</v>
      </c>
      <c r="AJ229" s="39" t="s">
        <v>539</v>
      </c>
      <c r="AK229" s="39" t="s">
        <v>539</v>
      </c>
      <c r="AL229" s="44"/>
      <c r="AM229" s="43">
        <v>52.424999999999997</v>
      </c>
      <c r="AN229" s="39">
        <v>-29.243373103708905</v>
      </c>
      <c r="AO229" s="39">
        <v>14.255513904629048</v>
      </c>
      <c r="AP229" s="43" t="s">
        <v>539</v>
      </c>
      <c r="AQ229" s="43">
        <v>74.091999999999999</v>
      </c>
      <c r="AR229" s="43">
        <v>45.884</v>
      </c>
      <c r="AS229" s="39" t="s">
        <v>539</v>
      </c>
      <c r="AT229" s="39" t="s">
        <v>539</v>
      </c>
      <c r="AU229" s="1">
        <v>8001.61784171</v>
      </c>
    </row>
    <row r="230" spans="2:47" ht="18" customHeight="1" x14ac:dyDescent="0.25">
      <c r="B230" s="2">
        <f>IF(G230=$B$6,MAX(B$7:B229)+1,IF($B$6="Nifty 500 - All Sector",B229+1,0))</f>
        <v>0</v>
      </c>
      <c r="C230" s="36">
        <v>148</v>
      </c>
      <c r="D230" s="36" t="s">
        <v>249</v>
      </c>
      <c r="E230" s="36" t="s">
        <v>527</v>
      </c>
      <c r="F230" s="36" t="s">
        <v>776</v>
      </c>
      <c r="G230" s="36" t="s">
        <v>777</v>
      </c>
      <c r="H230" s="36" t="s">
        <v>529</v>
      </c>
      <c r="I230" s="37" t="s">
        <v>540</v>
      </c>
      <c r="J230" s="38" t="s">
        <v>539</v>
      </c>
      <c r="K230" s="39" t="s">
        <v>540</v>
      </c>
      <c r="L230" s="39" t="s">
        <v>540</v>
      </c>
      <c r="M230" s="38" t="s">
        <v>539</v>
      </c>
      <c r="N230" s="38">
        <v>6811.12</v>
      </c>
      <c r="O230" s="38">
        <v>10315.58</v>
      </c>
      <c r="P230" s="39" t="s">
        <v>540</v>
      </c>
      <c r="Q230" s="39" t="s">
        <v>540</v>
      </c>
      <c r="R230" s="40"/>
      <c r="S230" s="38" t="s">
        <v>539</v>
      </c>
      <c r="T230" s="39" t="s">
        <v>540</v>
      </c>
      <c r="U230" s="39" t="s">
        <v>540</v>
      </c>
      <c r="V230" s="38" t="s">
        <v>539</v>
      </c>
      <c r="W230" s="38">
        <v>529.98</v>
      </c>
      <c r="X230" s="38">
        <v>835.05000000000098</v>
      </c>
      <c r="Y230" s="39" t="s">
        <v>540</v>
      </c>
      <c r="Z230" s="39" t="s">
        <v>540</v>
      </c>
      <c r="AA230" s="41" t="s">
        <v>540</v>
      </c>
      <c r="AB230" s="42" t="s">
        <v>540</v>
      </c>
      <c r="AC230" s="40"/>
      <c r="AD230" s="43" t="s">
        <v>540</v>
      </c>
      <c r="AE230" s="39" t="s">
        <v>539</v>
      </c>
      <c r="AF230" s="39" t="s">
        <v>539</v>
      </c>
      <c r="AG230" s="43" t="s">
        <v>539</v>
      </c>
      <c r="AH230" s="43">
        <v>556.03</v>
      </c>
      <c r="AI230" s="43">
        <v>437.00000000000199</v>
      </c>
      <c r="AJ230" s="39" t="s">
        <v>539</v>
      </c>
      <c r="AK230" s="39" t="s">
        <v>539</v>
      </c>
      <c r="AL230" s="44"/>
      <c r="AM230" s="43" t="s">
        <v>539</v>
      </c>
      <c r="AN230" s="39" t="s">
        <v>539</v>
      </c>
      <c r="AO230" s="39" t="s">
        <v>539</v>
      </c>
      <c r="AP230" s="43" t="s">
        <v>539</v>
      </c>
      <c r="AQ230" s="43">
        <v>286.52</v>
      </c>
      <c r="AR230" s="43">
        <v>232.15</v>
      </c>
      <c r="AS230" s="39" t="s">
        <v>539</v>
      </c>
      <c r="AT230" s="39" t="s">
        <v>539</v>
      </c>
      <c r="AU230" s="1">
        <v>15402.887928615</v>
      </c>
    </row>
    <row r="231" spans="2:47" ht="18" customHeight="1" x14ac:dyDescent="0.25">
      <c r="B231" s="2">
        <f>IF(G231=$B$6,MAX(B$7:B230)+1,IF($B$6="Nifty 500 - All Sector",B230+1,0))</f>
        <v>0</v>
      </c>
      <c r="C231" s="36">
        <v>84</v>
      </c>
      <c r="D231" s="36" t="s">
        <v>250</v>
      </c>
      <c r="E231" s="36" t="s">
        <v>527</v>
      </c>
      <c r="F231" s="36" t="s">
        <v>778</v>
      </c>
      <c r="G231" s="36" t="s">
        <v>777</v>
      </c>
      <c r="H231" s="36" t="s">
        <v>529</v>
      </c>
      <c r="I231" s="37" t="s">
        <v>540</v>
      </c>
      <c r="J231" s="38" t="s">
        <v>539</v>
      </c>
      <c r="K231" s="39" t="s">
        <v>540</v>
      </c>
      <c r="L231" s="39" t="s">
        <v>540</v>
      </c>
      <c r="M231" s="38" t="s">
        <v>539</v>
      </c>
      <c r="N231" s="38">
        <v>4518.8230000000003</v>
      </c>
      <c r="O231" s="38">
        <v>5065.8900000000003</v>
      </c>
      <c r="P231" s="39" t="s">
        <v>540</v>
      </c>
      <c r="Q231" s="39" t="s">
        <v>540</v>
      </c>
      <c r="R231" s="40"/>
      <c r="S231" s="38" t="s">
        <v>539</v>
      </c>
      <c r="T231" s="39" t="s">
        <v>540</v>
      </c>
      <c r="U231" s="39" t="s">
        <v>540</v>
      </c>
      <c r="V231" s="38" t="s">
        <v>539</v>
      </c>
      <c r="W231" s="38">
        <v>802.28899999999999</v>
      </c>
      <c r="X231" s="38">
        <v>949.97</v>
      </c>
      <c r="Y231" s="39" t="s">
        <v>540</v>
      </c>
      <c r="Z231" s="39" t="s">
        <v>540</v>
      </c>
      <c r="AA231" s="41" t="s">
        <v>540</v>
      </c>
      <c r="AB231" s="42" t="s">
        <v>540</v>
      </c>
      <c r="AC231" s="40"/>
      <c r="AD231" s="43" t="s">
        <v>540</v>
      </c>
      <c r="AE231" s="39" t="s">
        <v>539</v>
      </c>
      <c r="AF231" s="39" t="s">
        <v>539</v>
      </c>
      <c r="AG231" s="43" t="s">
        <v>539</v>
      </c>
      <c r="AH231" s="43">
        <v>583.66399999999896</v>
      </c>
      <c r="AI231" s="43">
        <v>661.93</v>
      </c>
      <c r="AJ231" s="39" t="s">
        <v>539</v>
      </c>
      <c r="AK231" s="39" t="s">
        <v>539</v>
      </c>
      <c r="AL231" s="44"/>
      <c r="AM231" s="43" t="s">
        <v>539</v>
      </c>
      <c r="AN231" s="39" t="s">
        <v>539</v>
      </c>
      <c r="AO231" s="39" t="s">
        <v>539</v>
      </c>
      <c r="AP231" s="43" t="s">
        <v>539</v>
      </c>
      <c r="AQ231" s="43">
        <v>308.64699999999999</v>
      </c>
      <c r="AR231" s="43">
        <v>316.33</v>
      </c>
      <c r="AS231" s="39" t="s">
        <v>539</v>
      </c>
      <c r="AT231" s="39" t="s">
        <v>539</v>
      </c>
      <c r="AU231" s="1">
        <v>10440.667116000001</v>
      </c>
    </row>
    <row r="232" spans="2:47" ht="18" customHeight="1" x14ac:dyDescent="0.25">
      <c r="B232" s="2">
        <f>IF(G232=$B$6,MAX(B$7:B231)+1,IF($B$6="Nifty 500 - All Sector",B231+1,0))</f>
        <v>0</v>
      </c>
      <c r="C232" s="36">
        <v>2208</v>
      </c>
      <c r="D232" s="36" t="s">
        <v>251</v>
      </c>
      <c r="E232" s="36" t="s">
        <v>527</v>
      </c>
      <c r="F232" s="36" t="s">
        <v>779</v>
      </c>
      <c r="G232" s="36" t="s">
        <v>777</v>
      </c>
      <c r="H232" s="36" t="s">
        <v>529</v>
      </c>
      <c r="I232" s="37" t="s">
        <v>540</v>
      </c>
      <c r="J232" s="38">
        <v>1479.3666666666666</v>
      </c>
      <c r="K232" s="39">
        <v>-1.6171837522600097</v>
      </c>
      <c r="L232" s="39">
        <v>1.7363561049836829</v>
      </c>
      <c r="M232" s="38" t="s">
        <v>539</v>
      </c>
      <c r="N232" s="38">
        <v>1503.684</v>
      </c>
      <c r="O232" s="38">
        <v>1454.1179999999999</v>
      </c>
      <c r="P232" s="39" t="s">
        <v>540</v>
      </c>
      <c r="Q232" s="39" t="s">
        <v>540</v>
      </c>
      <c r="R232" s="40"/>
      <c r="S232" s="38">
        <v>238.56666666666666</v>
      </c>
      <c r="T232" s="39">
        <v>16.126270250782994</v>
      </c>
      <c r="U232" s="39">
        <v>-816.36736470040421</v>
      </c>
      <c r="V232" s="38" t="s">
        <v>539</v>
      </c>
      <c r="W232" s="38">
        <v>365.24400000000003</v>
      </c>
      <c r="X232" s="38">
        <v>201.84200000000001</v>
      </c>
      <c r="Y232" s="39" t="s">
        <v>540</v>
      </c>
      <c r="Z232" s="39" t="s">
        <v>540</v>
      </c>
      <c r="AA232" s="41" t="s">
        <v>540</v>
      </c>
      <c r="AB232" s="42" t="s">
        <v>540</v>
      </c>
      <c r="AC232" s="40"/>
      <c r="AD232" s="43">
        <v>168.1</v>
      </c>
      <c r="AE232" s="39">
        <v>-23.087129791040407</v>
      </c>
      <c r="AF232" s="39">
        <v>59.285159285159274</v>
      </c>
      <c r="AG232" s="43" t="s">
        <v>539</v>
      </c>
      <c r="AH232" s="43">
        <v>218.559</v>
      </c>
      <c r="AI232" s="43">
        <v>105.53400000000001</v>
      </c>
      <c r="AJ232" s="39" t="s">
        <v>539</v>
      </c>
      <c r="AK232" s="39" t="s">
        <v>539</v>
      </c>
      <c r="AL232" s="44"/>
      <c r="AM232" s="43">
        <v>168.1</v>
      </c>
      <c r="AN232" s="39">
        <v>-26.632972826703682</v>
      </c>
      <c r="AO232" s="39">
        <v>48.197125980781074</v>
      </c>
      <c r="AP232" s="43" t="s">
        <v>539</v>
      </c>
      <c r="AQ232" s="43">
        <v>229.12200000000001</v>
      </c>
      <c r="AR232" s="43">
        <v>113.43</v>
      </c>
      <c r="AS232" s="39" t="s">
        <v>539</v>
      </c>
      <c r="AT232" s="39" t="s">
        <v>539</v>
      </c>
      <c r="AU232" s="1">
        <v>9795.6058981799997</v>
      </c>
    </row>
    <row r="233" spans="2:47" ht="18" customHeight="1" x14ac:dyDescent="0.25">
      <c r="B233" s="2">
        <f>IF(G233=$B$6,MAX(B$7:B232)+1,IF($B$6="Nifty 500 - All Sector",B232+1,0))</f>
        <v>0</v>
      </c>
      <c r="C233" s="36">
        <v>18787</v>
      </c>
      <c r="D233" s="36" t="s">
        <v>252</v>
      </c>
      <c r="E233" s="36" t="s">
        <v>527</v>
      </c>
      <c r="F233" s="36" t="s">
        <v>780</v>
      </c>
      <c r="G233" s="36" t="s">
        <v>644</v>
      </c>
      <c r="H233" s="36" t="s">
        <v>535</v>
      </c>
      <c r="I233" s="37" t="s">
        <v>540</v>
      </c>
      <c r="J233" s="38">
        <v>8130.87</v>
      </c>
      <c r="K233" s="39" t="s">
        <v>540</v>
      </c>
      <c r="L233" s="39">
        <v>97.620111248460887</v>
      </c>
      <c r="M233" s="38" t="s">
        <v>539</v>
      </c>
      <c r="N233" s="38">
        <v>0</v>
      </c>
      <c r="O233" s="38">
        <v>4114.3940000000002</v>
      </c>
      <c r="P233" s="39" t="s">
        <v>540</v>
      </c>
      <c r="Q233" s="39" t="s">
        <v>540</v>
      </c>
      <c r="R233" s="40"/>
      <c r="S233" s="38">
        <v>984.2700000000001</v>
      </c>
      <c r="T233" s="39">
        <v>12.105346660320484</v>
      </c>
      <c r="U233" s="39" t="s">
        <v>540</v>
      </c>
      <c r="V233" s="38" t="s">
        <v>539</v>
      </c>
      <c r="W233" s="38" t="s">
        <v>540</v>
      </c>
      <c r="X233" s="38">
        <v>196.08700000000101</v>
      </c>
      <c r="Y233" s="39" t="s">
        <v>540</v>
      </c>
      <c r="Z233" s="39" t="s">
        <v>540</v>
      </c>
      <c r="AA233" s="41" t="s">
        <v>540</v>
      </c>
      <c r="AB233" s="42" t="s">
        <v>540</v>
      </c>
      <c r="AC233" s="40"/>
      <c r="AD233" s="43">
        <v>767.8125</v>
      </c>
      <c r="AE233" s="39" t="s">
        <v>539</v>
      </c>
      <c r="AF233" s="39">
        <v>756.23599076644666</v>
      </c>
      <c r="AG233" s="43" t="s">
        <v>539</v>
      </c>
      <c r="AH233" s="43">
        <v>0</v>
      </c>
      <c r="AI233" s="43">
        <v>89.673000000000499</v>
      </c>
      <c r="AJ233" s="39" t="s">
        <v>539</v>
      </c>
      <c r="AK233" s="39" t="s">
        <v>539</v>
      </c>
      <c r="AL233" s="44"/>
      <c r="AM233" s="43">
        <v>767.8125</v>
      </c>
      <c r="AN233" s="39" t="s">
        <v>539</v>
      </c>
      <c r="AO233" s="39">
        <v>756.23599076644666</v>
      </c>
      <c r="AP233" s="43" t="s">
        <v>539</v>
      </c>
      <c r="AQ233" s="43">
        <v>0</v>
      </c>
      <c r="AR233" s="43">
        <v>89.673000000000499</v>
      </c>
      <c r="AS233" s="39" t="s">
        <v>539</v>
      </c>
      <c r="AT233" s="39" t="s">
        <v>539</v>
      </c>
      <c r="AU233" s="1">
        <v>104337.49823627999</v>
      </c>
    </row>
    <row r="234" spans="2:47" ht="18" customHeight="1" x14ac:dyDescent="0.25">
      <c r="B234" s="2">
        <f>IF(G234=$B$6,MAX(B$7:B233)+1,IF($B$6="Nifty 500 - All Sector",B233+1,0))</f>
        <v>0</v>
      </c>
      <c r="C234" s="36">
        <v>35727</v>
      </c>
      <c r="D234" s="36" t="s">
        <v>253</v>
      </c>
      <c r="E234" s="36" t="s">
        <v>527</v>
      </c>
      <c r="F234" s="36" t="s">
        <v>781</v>
      </c>
      <c r="G234" s="36" t="s">
        <v>644</v>
      </c>
      <c r="H234" s="36" t="s">
        <v>535</v>
      </c>
      <c r="I234" s="37" t="s">
        <v>540</v>
      </c>
      <c r="J234" s="38">
        <v>10618.082352941175</v>
      </c>
      <c r="K234" s="39">
        <v>3.1628961650008058</v>
      </c>
      <c r="L234" s="39">
        <v>-0.50140276246393167</v>
      </c>
      <c r="M234" s="38" t="s">
        <v>539</v>
      </c>
      <c r="N234" s="38">
        <v>10292.540000000001</v>
      </c>
      <c r="O234" s="38">
        <v>10671.59</v>
      </c>
      <c r="P234" s="39" t="s">
        <v>540</v>
      </c>
      <c r="Q234" s="39" t="s">
        <v>540</v>
      </c>
      <c r="R234" s="40"/>
      <c r="S234" s="38">
        <v>444.93157894736839</v>
      </c>
      <c r="T234" s="39">
        <v>4.1903195337727226</v>
      </c>
      <c r="U234" s="39">
        <v>-11.172835722404706</v>
      </c>
      <c r="V234" s="38" t="s">
        <v>539</v>
      </c>
      <c r="W234" s="38">
        <v>442.789999999999</v>
      </c>
      <c r="X234" s="38">
        <v>414.45</v>
      </c>
      <c r="Y234" s="39" t="s">
        <v>540</v>
      </c>
      <c r="Z234" s="39" t="s">
        <v>540</v>
      </c>
      <c r="AA234" s="41" t="s">
        <v>540</v>
      </c>
      <c r="AB234" s="42" t="s">
        <v>540</v>
      </c>
      <c r="AC234" s="40"/>
      <c r="AD234" s="43">
        <v>182.95</v>
      </c>
      <c r="AE234" s="39">
        <v>-60.330883150111667</v>
      </c>
      <c r="AF234" s="39">
        <v>-41.500927287843126</v>
      </c>
      <c r="AG234" s="43" t="s">
        <v>539</v>
      </c>
      <c r="AH234" s="43">
        <v>461.19</v>
      </c>
      <c r="AI234" s="43">
        <v>312.74000000000098</v>
      </c>
      <c r="AJ234" s="39" t="s">
        <v>539</v>
      </c>
      <c r="AK234" s="39" t="s">
        <v>539</v>
      </c>
      <c r="AL234" s="44"/>
      <c r="AM234" s="43">
        <v>182.95</v>
      </c>
      <c r="AN234" s="39">
        <v>-54.356070056384411</v>
      </c>
      <c r="AO234" s="39">
        <v>-36.312051799763282</v>
      </c>
      <c r="AP234" s="43" t="s">
        <v>539</v>
      </c>
      <c r="AQ234" s="43">
        <v>400.82</v>
      </c>
      <c r="AR234" s="43">
        <v>287.26</v>
      </c>
      <c r="AS234" s="39" t="s">
        <v>539</v>
      </c>
      <c r="AT234" s="39" t="s">
        <v>539</v>
      </c>
      <c r="AU234" s="1">
        <v>67265.134225899994</v>
      </c>
    </row>
    <row r="235" spans="2:47" ht="18" customHeight="1" x14ac:dyDescent="0.25">
      <c r="B235" s="2">
        <f>IF(G235=$B$6,MAX(B$7:B234)+1,IF($B$6="Nifty 500 - All Sector",B234+1,0))</f>
        <v>0</v>
      </c>
      <c r="C235" s="36">
        <v>597</v>
      </c>
      <c r="D235" s="36" t="s">
        <v>254</v>
      </c>
      <c r="E235" s="36" t="s">
        <v>527</v>
      </c>
      <c r="F235" s="36" t="s">
        <v>782</v>
      </c>
      <c r="G235" s="36" t="s">
        <v>644</v>
      </c>
      <c r="H235" s="36" t="s">
        <v>535</v>
      </c>
      <c r="I235" s="37" t="s">
        <v>540</v>
      </c>
      <c r="J235" s="38">
        <v>5118.3857142857141</v>
      </c>
      <c r="K235" s="39">
        <v>7.3586009255408147</v>
      </c>
      <c r="L235" s="39">
        <v>66.68085575558294</v>
      </c>
      <c r="M235" s="38" t="s">
        <v>539</v>
      </c>
      <c r="N235" s="38">
        <v>4767.5600000000004</v>
      </c>
      <c r="O235" s="38">
        <v>3070.77</v>
      </c>
      <c r="P235" s="39" t="s">
        <v>540</v>
      </c>
      <c r="Q235" s="39" t="s">
        <v>540</v>
      </c>
      <c r="R235" s="40"/>
      <c r="S235" s="38">
        <v>352.86250000000001</v>
      </c>
      <c r="T235" s="39">
        <v>6.8940193197073851</v>
      </c>
      <c r="U235" s="39">
        <v>-8.6071124880621852</v>
      </c>
      <c r="V235" s="38" t="s">
        <v>539</v>
      </c>
      <c r="W235" s="38">
        <v>332.78</v>
      </c>
      <c r="X235" s="38">
        <v>177.29</v>
      </c>
      <c r="Y235" s="39" t="s">
        <v>540</v>
      </c>
      <c r="Z235" s="39" t="s">
        <v>540</v>
      </c>
      <c r="AA235" s="41" t="s">
        <v>540</v>
      </c>
      <c r="AB235" s="42" t="s">
        <v>540</v>
      </c>
      <c r="AC235" s="40"/>
      <c r="AD235" s="43">
        <v>264.22500000000002</v>
      </c>
      <c r="AE235" s="39">
        <v>-1.2833445415826095</v>
      </c>
      <c r="AF235" s="39">
        <v>126.56919910821473</v>
      </c>
      <c r="AG235" s="43" t="s">
        <v>539</v>
      </c>
      <c r="AH235" s="43">
        <v>267.66000000000003</v>
      </c>
      <c r="AI235" s="43">
        <v>116.62</v>
      </c>
      <c r="AJ235" s="39" t="s">
        <v>539</v>
      </c>
      <c r="AK235" s="39" t="s">
        <v>539</v>
      </c>
      <c r="AL235" s="44"/>
      <c r="AM235" s="43">
        <v>264.22500000000002</v>
      </c>
      <c r="AN235" s="39">
        <v>9.6278317152103554</v>
      </c>
      <c r="AO235" s="39">
        <v>211.03590347263096</v>
      </c>
      <c r="AP235" s="43" t="s">
        <v>539</v>
      </c>
      <c r="AQ235" s="43">
        <v>241.02</v>
      </c>
      <c r="AR235" s="43">
        <v>84.95</v>
      </c>
      <c r="AS235" s="39" t="s">
        <v>539</v>
      </c>
      <c r="AT235" s="39" t="s">
        <v>539</v>
      </c>
      <c r="AU235" s="1">
        <v>46401.621513899998</v>
      </c>
    </row>
    <row r="236" spans="2:47" ht="18" customHeight="1" x14ac:dyDescent="0.25">
      <c r="B236" s="2">
        <f>IF(G236=$B$6,MAX(B$7:B235)+1,IF($B$6="Nifty 500 - All Sector",B235+1,0))</f>
        <v>0</v>
      </c>
      <c r="C236" s="36">
        <v>76723</v>
      </c>
      <c r="D236" s="36" t="s">
        <v>255</v>
      </c>
      <c r="E236" s="36" t="s">
        <v>527</v>
      </c>
      <c r="F236" s="36" t="s">
        <v>783</v>
      </c>
      <c r="G236" s="36" t="s">
        <v>644</v>
      </c>
      <c r="H236" s="36" t="s">
        <v>529</v>
      </c>
      <c r="I236" s="37" t="s">
        <v>540</v>
      </c>
      <c r="J236" s="38">
        <v>1449.5642857142857</v>
      </c>
      <c r="K236" s="39">
        <v>47.241169803265848</v>
      </c>
      <c r="L236" s="39">
        <v>80.286889789745388</v>
      </c>
      <c r="M236" s="38" t="s">
        <v>539</v>
      </c>
      <c r="N236" s="38">
        <v>984.48299999999995</v>
      </c>
      <c r="O236" s="38">
        <v>804.03200000000004</v>
      </c>
      <c r="P236" s="39" t="s">
        <v>540</v>
      </c>
      <c r="Q236" s="39" t="s">
        <v>540</v>
      </c>
      <c r="R236" s="40"/>
      <c r="S236" s="38">
        <v>233.17142857142858</v>
      </c>
      <c r="T236" s="39">
        <v>16.085621787827868</v>
      </c>
      <c r="U236" s="39">
        <v>-96.485038893902342</v>
      </c>
      <c r="V236" s="38" t="s">
        <v>539</v>
      </c>
      <c r="W236" s="38">
        <v>167.85900000000001</v>
      </c>
      <c r="X236" s="38">
        <v>119.312</v>
      </c>
      <c r="Y236" s="39" t="s">
        <v>540</v>
      </c>
      <c r="Z236" s="39" t="s">
        <v>540</v>
      </c>
      <c r="AA236" s="41" t="s">
        <v>540</v>
      </c>
      <c r="AB236" s="42" t="s">
        <v>540</v>
      </c>
      <c r="AC236" s="40"/>
      <c r="AD236" s="43">
        <v>160.37139999999999</v>
      </c>
      <c r="AE236" s="39">
        <v>38.010877609679696</v>
      </c>
      <c r="AF236" s="39">
        <v>109.24741003627254</v>
      </c>
      <c r="AG236" s="43" t="s">
        <v>539</v>
      </c>
      <c r="AH236" s="43">
        <v>116.202</v>
      </c>
      <c r="AI236" s="43">
        <v>76.641999999999996</v>
      </c>
      <c r="AJ236" s="39" t="s">
        <v>539</v>
      </c>
      <c r="AK236" s="39" t="s">
        <v>539</v>
      </c>
      <c r="AL236" s="44"/>
      <c r="AM236" s="43">
        <v>160.37139999999999</v>
      </c>
      <c r="AN236" s="39">
        <v>38.010877609679696</v>
      </c>
      <c r="AO236" s="39">
        <v>109.24741003627254</v>
      </c>
      <c r="AP236" s="43" t="s">
        <v>539</v>
      </c>
      <c r="AQ236" s="43">
        <v>116.202</v>
      </c>
      <c r="AR236" s="43">
        <v>76.641999999999996</v>
      </c>
      <c r="AS236" s="39" t="s">
        <v>539</v>
      </c>
      <c r="AT236" s="39" t="s">
        <v>539</v>
      </c>
      <c r="AU236" s="1">
        <v>26936.535016819998</v>
      </c>
    </row>
    <row r="237" spans="2:47" ht="18" customHeight="1" x14ac:dyDescent="0.25">
      <c r="B237" s="2">
        <f>IF(G237=$B$6,MAX(B$7:B236)+1,IF($B$6="Nifty 500 - All Sector",B236+1,0))</f>
        <v>0</v>
      </c>
      <c r="C237" s="36">
        <v>1131</v>
      </c>
      <c r="D237" s="36" t="s">
        <v>256</v>
      </c>
      <c r="E237" s="36" t="s">
        <v>533</v>
      </c>
      <c r="F237" s="36" t="s">
        <v>784</v>
      </c>
      <c r="G237" s="36" t="s">
        <v>644</v>
      </c>
      <c r="H237" s="36" t="s">
        <v>535</v>
      </c>
      <c r="I237" s="37" t="s">
        <v>540</v>
      </c>
      <c r="J237" s="38">
        <v>1212.1666666666665</v>
      </c>
      <c r="K237" s="39">
        <v>8.7632720203379542</v>
      </c>
      <c r="L237" s="39">
        <v>3.7192321953167129</v>
      </c>
      <c r="M237" s="38" t="s">
        <v>539</v>
      </c>
      <c r="N237" s="38">
        <v>1114.5</v>
      </c>
      <c r="O237" s="38">
        <v>1168.7</v>
      </c>
      <c r="P237" s="39" t="s">
        <v>540</v>
      </c>
      <c r="Q237" s="39" t="s">
        <v>540</v>
      </c>
      <c r="R237" s="40"/>
      <c r="S237" s="38">
        <v>160.69999999999999</v>
      </c>
      <c r="T237" s="39">
        <v>13.257252853018011</v>
      </c>
      <c r="U237" s="39">
        <v>-104.51248948509874</v>
      </c>
      <c r="V237" s="38" t="s">
        <v>539</v>
      </c>
      <c r="W237" s="38">
        <v>159.4</v>
      </c>
      <c r="X237" s="38">
        <v>147.6</v>
      </c>
      <c r="Y237" s="39" t="s">
        <v>540</v>
      </c>
      <c r="Z237" s="39" t="s">
        <v>540</v>
      </c>
      <c r="AA237" s="41" t="s">
        <v>540</v>
      </c>
      <c r="AB237" s="42" t="s">
        <v>540</v>
      </c>
      <c r="AC237" s="40"/>
      <c r="AD237" s="43">
        <v>146.05000000000001</v>
      </c>
      <c r="AE237" s="39">
        <v>4.3959971408148668</v>
      </c>
      <c r="AF237" s="39">
        <v>20.503300330033003</v>
      </c>
      <c r="AG237" s="43" t="s">
        <v>539</v>
      </c>
      <c r="AH237" s="43">
        <v>139.9</v>
      </c>
      <c r="AI237" s="43">
        <v>121.2</v>
      </c>
      <c r="AJ237" s="39" t="s">
        <v>539</v>
      </c>
      <c r="AK237" s="39" t="s">
        <v>539</v>
      </c>
      <c r="AL237" s="44"/>
      <c r="AM237" s="43">
        <v>146.05000000000001</v>
      </c>
      <c r="AN237" s="39">
        <v>4.3959971408148668</v>
      </c>
      <c r="AO237" s="39">
        <v>20.503300330033003</v>
      </c>
      <c r="AP237" s="43" t="s">
        <v>539</v>
      </c>
      <c r="AQ237" s="43">
        <v>139.9</v>
      </c>
      <c r="AR237" s="43">
        <v>121.2</v>
      </c>
      <c r="AS237" s="39" t="s">
        <v>539</v>
      </c>
      <c r="AT237" s="39" t="s">
        <v>539</v>
      </c>
      <c r="AU237" s="1">
        <v>26983.930327465001</v>
      </c>
    </row>
    <row r="238" spans="2:47" ht="18" customHeight="1" x14ac:dyDescent="0.25">
      <c r="B238" s="2">
        <f>IF(G238=$B$6,MAX(B$7:B237)+1,IF($B$6="Nifty 500 - All Sector",B237+1,0))</f>
        <v>0</v>
      </c>
      <c r="C238" s="36">
        <v>45967</v>
      </c>
      <c r="D238" s="36" t="s">
        <v>257</v>
      </c>
      <c r="E238" s="36" t="s">
        <v>527</v>
      </c>
      <c r="F238" s="36" t="s">
        <v>785</v>
      </c>
      <c r="G238" s="36" t="s">
        <v>644</v>
      </c>
      <c r="H238" s="36" t="s">
        <v>529</v>
      </c>
      <c r="I238" s="37" t="s">
        <v>540</v>
      </c>
      <c r="J238" s="38">
        <v>4162.2312499999998</v>
      </c>
      <c r="K238" s="39">
        <v>10.883516970069774</v>
      </c>
      <c r="L238" s="39">
        <v>41.436971785877262</v>
      </c>
      <c r="M238" s="38" t="s">
        <v>539</v>
      </c>
      <c r="N238" s="38">
        <v>3753.6970000000001</v>
      </c>
      <c r="O238" s="38">
        <v>2942.817</v>
      </c>
      <c r="P238" s="39" t="s">
        <v>540</v>
      </c>
      <c r="Q238" s="39" t="s">
        <v>540</v>
      </c>
      <c r="R238" s="40"/>
      <c r="S238" s="38">
        <v>326.71428571428567</v>
      </c>
      <c r="T238" s="39">
        <v>7.8494986484541354</v>
      </c>
      <c r="U238" s="39">
        <v>-0.30531158464990327</v>
      </c>
      <c r="V238" s="38" t="s">
        <v>539</v>
      </c>
      <c r="W238" s="38">
        <v>294.76100000000002</v>
      </c>
      <c r="X238" s="38">
        <v>246.102</v>
      </c>
      <c r="Y238" s="39" t="s">
        <v>540</v>
      </c>
      <c r="Z238" s="39" t="s">
        <v>540</v>
      </c>
      <c r="AA238" s="41" t="s">
        <v>540</v>
      </c>
      <c r="AB238" s="42" t="s">
        <v>540</v>
      </c>
      <c r="AC238" s="40"/>
      <c r="AD238" s="43">
        <v>143.25330000000002</v>
      </c>
      <c r="AE238" s="39">
        <v>9.2502516701748139</v>
      </c>
      <c r="AF238" s="39" t="s">
        <v>547</v>
      </c>
      <c r="AG238" s="43" t="s">
        <v>539</v>
      </c>
      <c r="AH238" s="43">
        <v>131.124</v>
      </c>
      <c r="AI238" s="43">
        <v>-0.69799999999987705</v>
      </c>
      <c r="AJ238" s="39" t="s">
        <v>539</v>
      </c>
      <c r="AK238" s="39" t="s">
        <v>547</v>
      </c>
      <c r="AL238" s="44"/>
      <c r="AM238" s="43">
        <v>143.25330000000002</v>
      </c>
      <c r="AN238" s="39">
        <v>23.418683392061766</v>
      </c>
      <c r="AO238" s="39" t="s">
        <v>547</v>
      </c>
      <c r="AP238" s="43" t="s">
        <v>539</v>
      </c>
      <c r="AQ238" s="43">
        <v>116.071</v>
      </c>
      <c r="AR238" s="43">
        <v>-27.242000000000001</v>
      </c>
      <c r="AS238" s="39" t="s">
        <v>539</v>
      </c>
      <c r="AT238" s="39" t="s">
        <v>547</v>
      </c>
      <c r="AU238" s="1">
        <v>26402.548166749999</v>
      </c>
    </row>
    <row r="239" spans="2:47" ht="18" customHeight="1" x14ac:dyDescent="0.25">
      <c r="B239" s="2">
        <f>IF(G239=$B$6,MAX(B$7:B238)+1,IF($B$6="Nifty 500 - All Sector",B238+1,0))</f>
        <v>0</v>
      </c>
      <c r="C239" s="36">
        <v>43524</v>
      </c>
      <c r="D239" s="36" t="s">
        <v>258</v>
      </c>
      <c r="E239" s="36" t="s">
        <v>527</v>
      </c>
      <c r="F239" s="36" t="s">
        <v>786</v>
      </c>
      <c r="G239" s="36" t="s">
        <v>644</v>
      </c>
      <c r="H239" s="36" t="s">
        <v>529</v>
      </c>
      <c r="I239" s="37" t="s">
        <v>540</v>
      </c>
      <c r="J239" s="38">
        <v>1227.0999999999999</v>
      </c>
      <c r="K239" s="39" t="s">
        <v>540</v>
      </c>
      <c r="L239" s="39">
        <v>7.724451545504829</v>
      </c>
      <c r="M239" s="38" t="s">
        <v>539</v>
      </c>
      <c r="N239" s="38">
        <v>0</v>
      </c>
      <c r="O239" s="38">
        <v>1139.1099999999999</v>
      </c>
      <c r="P239" s="39" t="s">
        <v>540</v>
      </c>
      <c r="Q239" s="39" t="s">
        <v>540</v>
      </c>
      <c r="R239" s="40"/>
      <c r="S239" s="38">
        <v>157.6</v>
      </c>
      <c r="T239" s="39">
        <v>12.843289055496701</v>
      </c>
      <c r="U239" s="39" t="s">
        <v>540</v>
      </c>
      <c r="V239" s="38" t="s">
        <v>539</v>
      </c>
      <c r="W239" s="38" t="s">
        <v>540</v>
      </c>
      <c r="X239" s="38">
        <v>139.93600000000001</v>
      </c>
      <c r="Y239" s="39" t="s">
        <v>540</v>
      </c>
      <c r="Z239" s="39" t="s">
        <v>540</v>
      </c>
      <c r="AA239" s="41" t="s">
        <v>540</v>
      </c>
      <c r="AB239" s="42" t="s">
        <v>540</v>
      </c>
      <c r="AC239" s="40"/>
      <c r="AD239" s="43">
        <v>105.9</v>
      </c>
      <c r="AE239" s="39" t="s">
        <v>539</v>
      </c>
      <c r="AF239" s="39">
        <v>10.335486559699936</v>
      </c>
      <c r="AG239" s="43" t="s">
        <v>539</v>
      </c>
      <c r="AH239" s="43">
        <v>0</v>
      </c>
      <c r="AI239" s="43">
        <v>95.98</v>
      </c>
      <c r="AJ239" s="39" t="s">
        <v>539</v>
      </c>
      <c r="AK239" s="39" t="s">
        <v>539</v>
      </c>
      <c r="AL239" s="44"/>
      <c r="AM239" s="43">
        <v>105.9</v>
      </c>
      <c r="AN239" s="39" t="s">
        <v>539</v>
      </c>
      <c r="AO239" s="39">
        <v>10.335486559699936</v>
      </c>
      <c r="AP239" s="43" t="s">
        <v>539</v>
      </c>
      <c r="AQ239" s="43">
        <v>0</v>
      </c>
      <c r="AR239" s="43">
        <v>95.98</v>
      </c>
      <c r="AS239" s="39" t="s">
        <v>539</v>
      </c>
      <c r="AT239" s="39" t="s">
        <v>539</v>
      </c>
      <c r="AU239" s="1">
        <v>24342.974058600001</v>
      </c>
    </row>
    <row r="240" spans="2:47" ht="18" customHeight="1" x14ac:dyDescent="0.25">
      <c r="B240" s="2">
        <f>IF(G240=$B$6,MAX(B$7:B239)+1,IF($B$6="Nifty 500 - All Sector",B239+1,0))</f>
        <v>0</v>
      </c>
      <c r="C240" s="36">
        <v>76291</v>
      </c>
      <c r="D240" s="36" t="s">
        <v>259</v>
      </c>
      <c r="E240" s="36" t="s">
        <v>527</v>
      </c>
      <c r="F240" s="36" t="s">
        <v>787</v>
      </c>
      <c r="G240" s="36" t="s">
        <v>644</v>
      </c>
      <c r="H240" s="36" t="s">
        <v>529</v>
      </c>
      <c r="I240" s="37" t="s">
        <v>540</v>
      </c>
      <c r="J240" s="38">
        <v>1484.023076923077</v>
      </c>
      <c r="K240" s="39">
        <v>60.545834032707681</v>
      </c>
      <c r="L240" s="39">
        <v>17.390172042199438</v>
      </c>
      <c r="M240" s="38" t="s">
        <v>539</v>
      </c>
      <c r="N240" s="38">
        <v>924.36099999999999</v>
      </c>
      <c r="O240" s="38">
        <v>1264.18</v>
      </c>
      <c r="P240" s="39" t="s">
        <v>540</v>
      </c>
      <c r="Q240" s="39" t="s">
        <v>540</v>
      </c>
      <c r="R240" s="40"/>
      <c r="S240" s="38">
        <v>145.01428571428571</v>
      </c>
      <c r="T240" s="39">
        <v>9.7717001823821636</v>
      </c>
      <c r="U240" s="39">
        <v>-185.74144167841791</v>
      </c>
      <c r="V240" s="38" t="s">
        <v>539</v>
      </c>
      <c r="W240" s="38">
        <v>107.495</v>
      </c>
      <c r="X240" s="38">
        <v>159.4</v>
      </c>
      <c r="Y240" s="39" t="s">
        <v>540</v>
      </c>
      <c r="Z240" s="39" t="s">
        <v>540</v>
      </c>
      <c r="AA240" s="41" t="s">
        <v>540</v>
      </c>
      <c r="AB240" s="42" t="s">
        <v>540</v>
      </c>
      <c r="AC240" s="40"/>
      <c r="AD240" s="43">
        <v>95.166700000000006</v>
      </c>
      <c r="AE240" s="39">
        <v>33.18782976222132</v>
      </c>
      <c r="AF240" s="39">
        <v>-13.731076744565506</v>
      </c>
      <c r="AG240" s="43" t="s">
        <v>539</v>
      </c>
      <c r="AH240" s="43">
        <v>71.453000000000003</v>
      </c>
      <c r="AI240" s="43">
        <v>110.31399999999999</v>
      </c>
      <c r="AJ240" s="39" t="s">
        <v>539</v>
      </c>
      <c r="AK240" s="39" t="s">
        <v>539</v>
      </c>
      <c r="AL240" s="44"/>
      <c r="AM240" s="43">
        <v>95.166700000000006</v>
      </c>
      <c r="AN240" s="39">
        <v>45.43255344835493</v>
      </c>
      <c r="AO240" s="39">
        <v>-7.4127799505769199</v>
      </c>
      <c r="AP240" s="43" t="s">
        <v>539</v>
      </c>
      <c r="AQ240" s="43">
        <v>65.436999999999998</v>
      </c>
      <c r="AR240" s="43">
        <v>102.786</v>
      </c>
      <c r="AS240" s="39" t="s">
        <v>539</v>
      </c>
      <c r="AT240" s="39" t="s">
        <v>539</v>
      </c>
      <c r="AU240" s="1">
        <v>17271.826541449998</v>
      </c>
    </row>
    <row r="241" spans="2:47" ht="18" customHeight="1" x14ac:dyDescent="0.25">
      <c r="B241" s="2">
        <f>IF(G241=$B$6,MAX(B$7:B240)+1,IF($B$6="Nifty 500 - All Sector",B240+1,0))</f>
        <v>0</v>
      </c>
      <c r="C241" s="36">
        <v>266</v>
      </c>
      <c r="D241" s="36" t="s">
        <v>260</v>
      </c>
      <c r="E241" s="36" t="s">
        <v>527</v>
      </c>
      <c r="F241" s="36" t="s">
        <v>788</v>
      </c>
      <c r="G241" s="36" t="s">
        <v>644</v>
      </c>
      <c r="H241" s="36" t="s">
        <v>529</v>
      </c>
      <c r="I241" s="37" t="s">
        <v>540</v>
      </c>
      <c r="J241" s="38" t="s">
        <v>539</v>
      </c>
      <c r="K241" s="39" t="s">
        <v>540</v>
      </c>
      <c r="L241" s="39" t="s">
        <v>540</v>
      </c>
      <c r="M241" s="38" t="s">
        <v>539</v>
      </c>
      <c r="N241" s="38">
        <v>1022.1</v>
      </c>
      <c r="O241" s="38">
        <v>907.7</v>
      </c>
      <c r="P241" s="39" t="s">
        <v>540</v>
      </c>
      <c r="Q241" s="39" t="s">
        <v>540</v>
      </c>
      <c r="R241" s="40"/>
      <c r="S241" s="38" t="s">
        <v>539</v>
      </c>
      <c r="T241" s="39" t="s">
        <v>540</v>
      </c>
      <c r="U241" s="39" t="s">
        <v>540</v>
      </c>
      <c r="V241" s="38" t="s">
        <v>539</v>
      </c>
      <c r="W241" s="38">
        <v>159.30000000000001</v>
      </c>
      <c r="X241" s="38">
        <v>136.30000000000001</v>
      </c>
      <c r="Y241" s="39" t="s">
        <v>540</v>
      </c>
      <c r="Z241" s="39" t="s">
        <v>540</v>
      </c>
      <c r="AA241" s="41" t="s">
        <v>540</v>
      </c>
      <c r="AB241" s="42" t="s">
        <v>540</v>
      </c>
      <c r="AC241" s="40"/>
      <c r="AD241" s="43" t="s">
        <v>540</v>
      </c>
      <c r="AE241" s="39" t="s">
        <v>539</v>
      </c>
      <c r="AF241" s="39" t="s">
        <v>539</v>
      </c>
      <c r="AG241" s="43" t="s">
        <v>539</v>
      </c>
      <c r="AH241" s="43">
        <v>108.4</v>
      </c>
      <c r="AI241" s="43">
        <v>74.3</v>
      </c>
      <c r="AJ241" s="39" t="s">
        <v>539</v>
      </c>
      <c r="AK241" s="39" t="s">
        <v>539</v>
      </c>
      <c r="AL241" s="44"/>
      <c r="AM241" s="43" t="s">
        <v>539</v>
      </c>
      <c r="AN241" s="39" t="s">
        <v>539</v>
      </c>
      <c r="AO241" s="39" t="s">
        <v>539</v>
      </c>
      <c r="AP241" s="43" t="s">
        <v>539</v>
      </c>
      <c r="AQ241" s="43">
        <v>108.4</v>
      </c>
      <c r="AR241" s="43">
        <v>74.3</v>
      </c>
      <c r="AS241" s="39" t="s">
        <v>539</v>
      </c>
      <c r="AT241" s="39" t="s">
        <v>539</v>
      </c>
      <c r="AU241" s="1">
        <v>13666.6482314</v>
      </c>
    </row>
    <row r="242" spans="2:47" ht="18" customHeight="1" x14ac:dyDescent="0.25">
      <c r="B242" s="2">
        <f>IF(G242=$B$6,MAX(B$7:B241)+1,IF($B$6="Nifty 500 - All Sector",B241+1,0))</f>
        <v>0</v>
      </c>
      <c r="C242" s="36">
        <v>38220</v>
      </c>
      <c r="D242" s="36" t="s">
        <v>261</v>
      </c>
      <c r="E242" s="36" t="s">
        <v>527</v>
      </c>
      <c r="F242" s="36" t="s">
        <v>789</v>
      </c>
      <c r="G242" s="36" t="s">
        <v>644</v>
      </c>
      <c r="H242" s="36" t="s">
        <v>529</v>
      </c>
      <c r="I242" s="37" t="s">
        <v>540</v>
      </c>
      <c r="J242" s="38">
        <v>2034.6833333333332</v>
      </c>
      <c r="K242" s="39">
        <v>6.5357878949876991</v>
      </c>
      <c r="L242" s="39">
        <v>44.086120494099902</v>
      </c>
      <c r="M242" s="38" t="s">
        <v>539</v>
      </c>
      <c r="N242" s="38">
        <v>1909.8589999999999</v>
      </c>
      <c r="O242" s="38">
        <v>1412.13</v>
      </c>
      <c r="P242" s="39" t="s">
        <v>540</v>
      </c>
      <c r="Q242" s="39" t="s">
        <v>540</v>
      </c>
      <c r="R242" s="40"/>
      <c r="S242" s="38">
        <v>205.6166666666667</v>
      </c>
      <c r="T242" s="39">
        <v>10.10558563576642</v>
      </c>
      <c r="U242" s="39">
        <v>-98.711806644405613</v>
      </c>
      <c r="V242" s="38" t="s">
        <v>539</v>
      </c>
      <c r="W242" s="38">
        <v>211.85499999999999</v>
      </c>
      <c r="X242" s="38">
        <v>116.881</v>
      </c>
      <c r="Y242" s="39" t="s">
        <v>540</v>
      </c>
      <c r="Z242" s="39" t="s">
        <v>540</v>
      </c>
      <c r="AA242" s="41" t="s">
        <v>540</v>
      </c>
      <c r="AB242" s="42" t="s">
        <v>540</v>
      </c>
      <c r="AC242" s="40"/>
      <c r="AD242" s="43">
        <v>142.9667</v>
      </c>
      <c r="AE242" s="39">
        <v>-2.3371451211848027</v>
      </c>
      <c r="AF242" s="39">
        <v>137.0451983021625</v>
      </c>
      <c r="AG242" s="43" t="s">
        <v>539</v>
      </c>
      <c r="AH242" s="43">
        <v>146.38800000000001</v>
      </c>
      <c r="AI242" s="43">
        <v>60.311999999999898</v>
      </c>
      <c r="AJ242" s="39" t="s">
        <v>539</v>
      </c>
      <c r="AK242" s="39" t="s">
        <v>539</v>
      </c>
      <c r="AL242" s="44"/>
      <c r="AM242" s="43">
        <v>142.9667</v>
      </c>
      <c r="AN242" s="39">
        <v>-1.5584245679267306</v>
      </c>
      <c r="AO242" s="39">
        <v>130.74404041382203</v>
      </c>
      <c r="AP242" s="43" t="s">
        <v>539</v>
      </c>
      <c r="AQ242" s="43">
        <v>145.22999999999999</v>
      </c>
      <c r="AR242" s="43">
        <v>61.959000000000003</v>
      </c>
      <c r="AS242" s="39" t="s">
        <v>539</v>
      </c>
      <c r="AT242" s="39" t="s">
        <v>539</v>
      </c>
      <c r="AU242" s="1">
        <v>15347.154860529999</v>
      </c>
    </row>
    <row r="243" spans="2:47" ht="18" customHeight="1" x14ac:dyDescent="0.25">
      <c r="B243" s="2">
        <f>IF(G243=$B$6,MAX(B$7:B242)+1,IF($B$6="Nifty 500 - All Sector",B242+1,0))</f>
        <v>0</v>
      </c>
      <c r="C243" s="36">
        <v>328</v>
      </c>
      <c r="D243" s="36" t="s">
        <v>262</v>
      </c>
      <c r="E243" s="36" t="s">
        <v>527</v>
      </c>
      <c r="F243" s="36" t="s">
        <v>790</v>
      </c>
      <c r="G243" s="36" t="s">
        <v>644</v>
      </c>
      <c r="H243" s="36" t="s">
        <v>529</v>
      </c>
      <c r="I243" s="37" t="s">
        <v>540</v>
      </c>
      <c r="J243" s="38">
        <v>2274.3599999999997</v>
      </c>
      <c r="K243" s="39">
        <v>13.453087041757472</v>
      </c>
      <c r="L243" s="39">
        <v>28.216750101474751</v>
      </c>
      <c r="M243" s="38" t="s">
        <v>539</v>
      </c>
      <c r="N243" s="38">
        <v>2004.67</v>
      </c>
      <c r="O243" s="38">
        <v>1773.84</v>
      </c>
      <c r="P243" s="39" t="s">
        <v>540</v>
      </c>
      <c r="Q243" s="39" t="s">
        <v>540</v>
      </c>
      <c r="R243" s="40"/>
      <c r="S243" s="38">
        <v>217.9</v>
      </c>
      <c r="T243" s="39">
        <v>9.5807172127543581</v>
      </c>
      <c r="U243" s="39">
        <v>44.654550369501145</v>
      </c>
      <c r="V243" s="38" t="s">
        <v>539</v>
      </c>
      <c r="W243" s="38">
        <v>183.11</v>
      </c>
      <c r="X243" s="38">
        <v>90.920000000000101</v>
      </c>
      <c r="Y243" s="39" t="s">
        <v>540</v>
      </c>
      <c r="Z243" s="39" t="s">
        <v>540</v>
      </c>
      <c r="AA243" s="41" t="s">
        <v>540</v>
      </c>
      <c r="AB243" s="42" t="s">
        <v>540</v>
      </c>
      <c r="AC243" s="40"/>
      <c r="AD243" s="43">
        <v>137.92000000000002</v>
      </c>
      <c r="AE243" s="39">
        <v>15.443207499790756</v>
      </c>
      <c r="AF243" s="39">
        <v>412.33283803863685</v>
      </c>
      <c r="AG243" s="43" t="s">
        <v>539</v>
      </c>
      <c r="AH243" s="43">
        <v>119.47</v>
      </c>
      <c r="AI243" s="43">
        <v>26.919999999999799</v>
      </c>
      <c r="AJ243" s="39" t="s">
        <v>539</v>
      </c>
      <c r="AK243" s="39" t="s">
        <v>539</v>
      </c>
      <c r="AL243" s="44"/>
      <c r="AM243" s="43">
        <v>137.92000000000002</v>
      </c>
      <c r="AN243" s="39">
        <v>15.704697986577187</v>
      </c>
      <c r="AO243" s="39">
        <v>420.64930162325413</v>
      </c>
      <c r="AP243" s="43" t="s">
        <v>539</v>
      </c>
      <c r="AQ243" s="43">
        <v>119.2</v>
      </c>
      <c r="AR243" s="43">
        <v>26.49</v>
      </c>
      <c r="AS243" s="39" t="s">
        <v>539</v>
      </c>
      <c r="AT243" s="39" t="s">
        <v>539</v>
      </c>
      <c r="AU243" s="1">
        <v>10725.11014905</v>
      </c>
    </row>
    <row r="244" spans="2:47" ht="18" customHeight="1" x14ac:dyDescent="0.25">
      <c r="B244" s="2">
        <f>IF(G244=$B$6,MAX(B$7:B243)+1,IF($B$6="Nifty 500 - All Sector",B243+1,0))</f>
        <v>0</v>
      </c>
      <c r="C244" s="36">
        <v>301</v>
      </c>
      <c r="D244" s="36" t="s">
        <v>263</v>
      </c>
      <c r="E244" s="36" t="s">
        <v>533</v>
      </c>
      <c r="F244" s="36" t="s">
        <v>791</v>
      </c>
      <c r="G244" s="36" t="s">
        <v>563</v>
      </c>
      <c r="H244" s="36" t="s">
        <v>532</v>
      </c>
      <c r="I244" s="37" t="s">
        <v>540</v>
      </c>
      <c r="J244" s="38">
        <v>17768.924999999999</v>
      </c>
      <c r="K244" s="39">
        <v>3.0189509520118341</v>
      </c>
      <c r="L244" s="39">
        <v>-1.3776603833904999</v>
      </c>
      <c r="M244" s="38" t="s">
        <v>539</v>
      </c>
      <c r="N244" s="38">
        <v>17248.21</v>
      </c>
      <c r="O244" s="38">
        <v>18017.140000000003</v>
      </c>
      <c r="P244" s="39" t="s">
        <v>540</v>
      </c>
      <c r="Q244" s="39" t="s">
        <v>540</v>
      </c>
      <c r="R244" s="40"/>
      <c r="S244" s="38">
        <v>6006.7916666666661</v>
      </c>
      <c r="T244" s="39">
        <v>33.805036977007141</v>
      </c>
      <c r="U244" s="39">
        <v>-90.227468026048285</v>
      </c>
      <c r="V244" s="38" t="s">
        <v>539</v>
      </c>
      <c r="W244" s="38">
        <v>5986.39</v>
      </c>
      <c r="X244" s="38">
        <v>6271.17</v>
      </c>
      <c r="Y244" s="39" t="s">
        <v>540</v>
      </c>
      <c r="Z244" s="39" t="s">
        <v>540</v>
      </c>
      <c r="AA244" s="41" t="s">
        <v>540</v>
      </c>
      <c r="AB244" s="42" t="s">
        <v>540</v>
      </c>
      <c r="AC244" s="40"/>
      <c r="AD244" s="43">
        <v>4907.5785999999998</v>
      </c>
      <c r="AE244" s="39">
        <v>0.67426780259747243</v>
      </c>
      <c r="AF244" s="39">
        <v>-3.5617499503815209</v>
      </c>
      <c r="AG244" s="43" t="s">
        <v>539</v>
      </c>
      <c r="AH244" s="43">
        <v>4874.71</v>
      </c>
      <c r="AI244" s="43">
        <v>5088.83</v>
      </c>
      <c r="AJ244" s="39" t="s">
        <v>539</v>
      </c>
      <c r="AK244" s="39" t="s">
        <v>539</v>
      </c>
      <c r="AL244" s="44"/>
      <c r="AM244" s="43">
        <v>4907.5785999999998</v>
      </c>
      <c r="AN244" s="39">
        <v>0.67426780259747243</v>
      </c>
      <c r="AO244" s="39">
        <v>-3.5617499503815209</v>
      </c>
      <c r="AP244" s="43" t="s">
        <v>539</v>
      </c>
      <c r="AQ244" s="43">
        <v>4874.71</v>
      </c>
      <c r="AR244" s="43">
        <v>5088.83</v>
      </c>
      <c r="AS244" s="39" t="s">
        <v>539</v>
      </c>
      <c r="AT244" s="39" t="s">
        <v>539</v>
      </c>
      <c r="AU244" s="1">
        <v>378515.23525850999</v>
      </c>
    </row>
    <row r="245" spans="2:47" ht="18" customHeight="1" x14ac:dyDescent="0.25">
      <c r="B245" s="2">
        <f>IF(G245=$B$6,MAX(B$7:B244)+1,IF($B$6="Nifty 500 - All Sector",B244+1,0))</f>
        <v>0</v>
      </c>
      <c r="C245" s="36">
        <v>24608</v>
      </c>
      <c r="D245" s="36" t="s">
        <v>264</v>
      </c>
      <c r="E245" s="36" t="s">
        <v>527</v>
      </c>
      <c r="F245" s="36" t="s">
        <v>792</v>
      </c>
      <c r="G245" s="36" t="s">
        <v>563</v>
      </c>
      <c r="H245" s="36" t="s">
        <v>532</v>
      </c>
      <c r="I245" s="37" t="s">
        <v>540</v>
      </c>
      <c r="J245" s="38">
        <v>6270.0375000000004</v>
      </c>
      <c r="K245" s="39">
        <v>12.629975022162121</v>
      </c>
      <c r="L245" s="39">
        <v>49.129559513873858</v>
      </c>
      <c r="M245" s="38" t="s">
        <v>539</v>
      </c>
      <c r="N245" s="38">
        <v>5566.9349999999995</v>
      </c>
      <c r="O245" s="38">
        <v>4204.4229999999998</v>
      </c>
      <c r="P245" s="39" t="s">
        <v>540</v>
      </c>
      <c r="Q245" s="39" t="s">
        <v>540</v>
      </c>
      <c r="R245" s="40"/>
      <c r="S245" s="38">
        <v>1340.8916666666667</v>
      </c>
      <c r="T245" s="39">
        <v>21.385704099324233</v>
      </c>
      <c r="U245" s="39">
        <v>-131.91415653009173</v>
      </c>
      <c r="V245" s="38" t="s">
        <v>539</v>
      </c>
      <c r="W245" s="38">
        <v>1263.9639999999999</v>
      </c>
      <c r="X245" s="38">
        <v>639.25599999999997</v>
      </c>
      <c r="Y245" s="39" t="s">
        <v>540</v>
      </c>
      <c r="Z245" s="39" t="s">
        <v>540</v>
      </c>
      <c r="AA245" s="41" t="s">
        <v>540</v>
      </c>
      <c r="AB245" s="42" t="s">
        <v>540</v>
      </c>
      <c r="AC245" s="40"/>
      <c r="AD245" s="43">
        <v>775.01670000000001</v>
      </c>
      <c r="AE245" s="39">
        <v>5.8860008060825253</v>
      </c>
      <c r="AF245" s="39">
        <v>195.14438914044382</v>
      </c>
      <c r="AG245" s="43" t="s">
        <v>539</v>
      </c>
      <c r="AH245" s="43">
        <v>731.93499999999995</v>
      </c>
      <c r="AI245" s="43">
        <v>262.589</v>
      </c>
      <c r="AJ245" s="39" t="s">
        <v>539</v>
      </c>
      <c r="AK245" s="39" t="s">
        <v>539</v>
      </c>
      <c r="AL245" s="44"/>
      <c r="AM245" s="43">
        <v>775.01670000000001</v>
      </c>
      <c r="AN245" s="39">
        <v>6.6799038662717081</v>
      </c>
      <c r="AO245" s="39">
        <v>207.80647928606322</v>
      </c>
      <c r="AP245" s="43" t="s">
        <v>539</v>
      </c>
      <c r="AQ245" s="43">
        <v>726.48800000000006</v>
      </c>
      <c r="AR245" s="43">
        <v>251.78700000000001</v>
      </c>
      <c r="AS245" s="39" t="s">
        <v>539</v>
      </c>
      <c r="AT245" s="39" t="s">
        <v>539</v>
      </c>
      <c r="AU245" s="1">
        <v>150841.4099724</v>
      </c>
    </row>
    <row r="246" spans="2:47" ht="18" customHeight="1" x14ac:dyDescent="0.25">
      <c r="B246" s="2">
        <f>IF(G246=$B$6,MAX(B$7:B245)+1,IF($B$6="Nifty 500 - All Sector",B245+1,0))</f>
        <v>0</v>
      </c>
      <c r="C246" s="36">
        <v>93</v>
      </c>
      <c r="D246" s="36" t="s">
        <v>265</v>
      </c>
      <c r="E246" s="36" t="s">
        <v>527</v>
      </c>
      <c r="F246" s="36" t="s">
        <v>793</v>
      </c>
      <c r="G246" s="36" t="s">
        <v>563</v>
      </c>
      <c r="H246" s="36" t="s">
        <v>532</v>
      </c>
      <c r="I246" s="37" t="s">
        <v>540</v>
      </c>
      <c r="J246" s="38">
        <v>4858.6619047619042</v>
      </c>
      <c r="K246" s="39">
        <v>9.6221485261666295</v>
      </c>
      <c r="L246" s="39">
        <v>-2.2366623990022871</v>
      </c>
      <c r="M246" s="38" t="s">
        <v>539</v>
      </c>
      <c r="N246" s="38">
        <v>4432.1899999999996</v>
      </c>
      <c r="O246" s="38">
        <v>4969.82</v>
      </c>
      <c r="P246" s="39" t="s">
        <v>540</v>
      </c>
      <c r="Q246" s="39" t="s">
        <v>540</v>
      </c>
      <c r="R246" s="40"/>
      <c r="S246" s="38">
        <v>923.84705882352932</v>
      </c>
      <c r="T246" s="39">
        <v>19.014433951826945</v>
      </c>
      <c r="U246" s="39">
        <v>84.801960587155634</v>
      </c>
      <c r="V246" s="38" t="s">
        <v>539</v>
      </c>
      <c r="W246" s="38">
        <v>805.17</v>
      </c>
      <c r="X246" s="38">
        <v>979.99</v>
      </c>
      <c r="Y246" s="39" t="s">
        <v>540</v>
      </c>
      <c r="Z246" s="39" t="s">
        <v>540</v>
      </c>
      <c r="AA246" s="41" t="s">
        <v>540</v>
      </c>
      <c r="AB246" s="42" t="s">
        <v>540</v>
      </c>
      <c r="AC246" s="40"/>
      <c r="AD246" s="43">
        <v>661.4</v>
      </c>
      <c r="AE246" s="39">
        <v>17.315264819610498</v>
      </c>
      <c r="AF246" s="39">
        <v>-3.4170560747665002</v>
      </c>
      <c r="AG246" s="43" t="s">
        <v>539</v>
      </c>
      <c r="AH246" s="43">
        <v>563.78</v>
      </c>
      <c r="AI246" s="43">
        <v>684.80000000000098</v>
      </c>
      <c r="AJ246" s="39" t="s">
        <v>539</v>
      </c>
      <c r="AK246" s="39" t="s">
        <v>539</v>
      </c>
      <c r="AL246" s="44"/>
      <c r="AM246" s="43">
        <v>661.4</v>
      </c>
      <c r="AN246" s="39">
        <v>18.117689079382071</v>
      </c>
      <c r="AO246" s="39">
        <v>-2.7295723277839912</v>
      </c>
      <c r="AP246" s="43" t="s">
        <v>539</v>
      </c>
      <c r="AQ246" s="43">
        <v>559.95000000000005</v>
      </c>
      <c r="AR246" s="43">
        <v>679.96</v>
      </c>
      <c r="AS246" s="39" t="s">
        <v>539</v>
      </c>
      <c r="AT246" s="39" t="s">
        <v>539</v>
      </c>
      <c r="AU246" s="1">
        <v>136195.36494875999</v>
      </c>
    </row>
    <row r="247" spans="2:47" ht="18" customHeight="1" x14ac:dyDescent="0.25">
      <c r="B247" s="2">
        <f>IF(G247=$B$6,MAX(B$7:B246)+1,IF($B$6="Nifty 500 - All Sector",B246+1,0))</f>
        <v>0</v>
      </c>
      <c r="C247" s="36">
        <v>557</v>
      </c>
      <c r="D247" s="36" t="s">
        <v>266</v>
      </c>
      <c r="E247" s="36" t="s">
        <v>527</v>
      </c>
      <c r="F247" s="36" t="s">
        <v>794</v>
      </c>
      <c r="G247" s="36" t="s">
        <v>563</v>
      </c>
      <c r="H247" s="36" t="s">
        <v>532</v>
      </c>
      <c r="I247" s="37" t="s">
        <v>540</v>
      </c>
      <c r="J247" s="38">
        <v>5182.7692307692305</v>
      </c>
      <c r="K247" s="39">
        <v>12.467921036088336</v>
      </c>
      <c r="L247" s="39">
        <v>1.3843746238112464</v>
      </c>
      <c r="M247" s="38" t="s">
        <v>539</v>
      </c>
      <c r="N247" s="38">
        <v>4608.22</v>
      </c>
      <c r="O247" s="38">
        <v>5112</v>
      </c>
      <c r="P247" s="39" t="s">
        <v>540</v>
      </c>
      <c r="Q247" s="39" t="s">
        <v>540</v>
      </c>
      <c r="R247" s="40"/>
      <c r="S247" s="38">
        <v>756.5846153846154</v>
      </c>
      <c r="T247" s="39">
        <v>14.598076466397531</v>
      </c>
      <c r="U247" s="39">
        <v>112.32423655950524</v>
      </c>
      <c r="V247" s="38" t="s">
        <v>539</v>
      </c>
      <c r="W247" s="38">
        <v>620.95000000000005</v>
      </c>
      <c r="X247" s="38">
        <v>720.67</v>
      </c>
      <c r="Y247" s="39" t="s">
        <v>540</v>
      </c>
      <c r="Z247" s="39" t="s">
        <v>540</v>
      </c>
      <c r="AA247" s="41" t="s">
        <v>540</v>
      </c>
      <c r="AB247" s="42" t="s">
        <v>540</v>
      </c>
      <c r="AC247" s="40"/>
      <c r="AD247" s="43">
        <v>420.48180000000002</v>
      </c>
      <c r="AE247" s="39">
        <v>3.2947158965286105</v>
      </c>
      <c r="AF247" s="39">
        <v>4.3923136125524564</v>
      </c>
      <c r="AG247" s="43" t="s">
        <v>539</v>
      </c>
      <c r="AH247" s="43">
        <v>407.07000000000102</v>
      </c>
      <c r="AI247" s="43">
        <v>402.79</v>
      </c>
      <c r="AJ247" s="39" t="s">
        <v>539</v>
      </c>
      <c r="AK247" s="39" t="s">
        <v>539</v>
      </c>
      <c r="AL247" s="44"/>
      <c r="AM247" s="43">
        <v>420.48180000000002</v>
      </c>
      <c r="AN247" s="39">
        <v>21.931796433231842</v>
      </c>
      <c r="AO247" s="39">
        <v>9.3267985751800619</v>
      </c>
      <c r="AP247" s="43" t="s">
        <v>539</v>
      </c>
      <c r="AQ247" s="43">
        <v>344.85</v>
      </c>
      <c r="AR247" s="43">
        <v>384.61</v>
      </c>
      <c r="AS247" s="39" t="s">
        <v>539</v>
      </c>
      <c r="AT247" s="39" t="s">
        <v>539</v>
      </c>
      <c r="AU247" s="1">
        <v>108248.1631142</v>
      </c>
    </row>
    <row r="248" spans="2:47" ht="18" customHeight="1" x14ac:dyDescent="0.25">
      <c r="B248" s="2">
        <f>IF(G248=$B$6,MAX(B$7:B247)+1,IF($B$6="Nifty 500 - All Sector",B247+1,0))</f>
        <v>0</v>
      </c>
      <c r="C248" s="36">
        <v>8036</v>
      </c>
      <c r="D248" s="36" t="s">
        <v>267</v>
      </c>
      <c r="E248" s="36" t="s">
        <v>533</v>
      </c>
      <c r="F248" s="36" t="s">
        <v>795</v>
      </c>
      <c r="G248" s="36" t="s">
        <v>563</v>
      </c>
      <c r="H248" s="36" t="s">
        <v>532</v>
      </c>
      <c r="I248" s="37" t="s">
        <v>540</v>
      </c>
      <c r="J248" s="38">
        <v>3135.5545454545454</v>
      </c>
      <c r="K248" s="39">
        <v>6.434302289699434</v>
      </c>
      <c r="L248" s="39">
        <v>-14.864117690617828</v>
      </c>
      <c r="M248" s="38" t="s">
        <v>539</v>
      </c>
      <c r="N248" s="38">
        <v>2946</v>
      </c>
      <c r="O248" s="38">
        <v>3683</v>
      </c>
      <c r="P248" s="39" t="s">
        <v>540</v>
      </c>
      <c r="Q248" s="39" t="s">
        <v>540</v>
      </c>
      <c r="R248" s="40"/>
      <c r="S248" s="38">
        <v>576.66363636363644</v>
      </c>
      <c r="T248" s="39">
        <v>18.39112118778468</v>
      </c>
      <c r="U248" s="39">
        <v>124.92338829645853</v>
      </c>
      <c r="V248" s="38" t="s">
        <v>539</v>
      </c>
      <c r="W248" s="38">
        <v>505</v>
      </c>
      <c r="X248" s="38">
        <v>618</v>
      </c>
      <c r="Y248" s="39" t="s">
        <v>540</v>
      </c>
      <c r="Z248" s="39" t="s">
        <v>540</v>
      </c>
      <c r="AA248" s="41" t="s">
        <v>540</v>
      </c>
      <c r="AB248" s="42" t="s">
        <v>540</v>
      </c>
      <c r="AC248" s="40"/>
      <c r="AD248" s="43">
        <v>444.22219999999999</v>
      </c>
      <c r="AE248" s="39">
        <v>-1.5028381374722843</v>
      </c>
      <c r="AF248" s="39">
        <v>-16.026049149338373</v>
      </c>
      <c r="AG248" s="43" t="s">
        <v>539</v>
      </c>
      <c r="AH248" s="43">
        <v>451</v>
      </c>
      <c r="AI248" s="43">
        <v>529</v>
      </c>
      <c r="AJ248" s="39" t="s">
        <v>539</v>
      </c>
      <c r="AK248" s="39" t="s">
        <v>539</v>
      </c>
      <c r="AL248" s="44"/>
      <c r="AM248" s="43">
        <v>444.22219999999999</v>
      </c>
      <c r="AN248" s="39">
        <v>-1.5028381374722843</v>
      </c>
      <c r="AO248" s="39">
        <v>-16.026049149338373</v>
      </c>
      <c r="AP248" s="43" t="s">
        <v>539</v>
      </c>
      <c r="AQ248" s="43">
        <v>451</v>
      </c>
      <c r="AR248" s="43">
        <v>529</v>
      </c>
      <c r="AS248" s="39" t="s">
        <v>539</v>
      </c>
      <c r="AT248" s="39" t="s">
        <v>539</v>
      </c>
      <c r="AU248" s="1">
        <v>91060.690041334994</v>
      </c>
    </row>
    <row r="249" spans="2:47" ht="18" customHeight="1" x14ac:dyDescent="0.25">
      <c r="B249" s="2">
        <f>IF(G249=$B$6,MAX(B$7:B248)+1,IF($B$6="Nifty 500 - All Sector",B248+1,0))</f>
        <v>0</v>
      </c>
      <c r="C249" s="36">
        <v>68840</v>
      </c>
      <c r="D249" s="36" t="s">
        <v>268</v>
      </c>
      <c r="E249" s="36" t="s">
        <v>527</v>
      </c>
      <c r="F249" s="36" t="s">
        <v>796</v>
      </c>
      <c r="G249" s="36" t="s">
        <v>563</v>
      </c>
      <c r="H249" s="36" t="s">
        <v>535</v>
      </c>
      <c r="I249" s="37" t="s">
        <v>540</v>
      </c>
      <c r="J249" s="38">
        <v>2407.1</v>
      </c>
      <c r="K249" s="39" t="s">
        <v>540</v>
      </c>
      <c r="L249" s="39">
        <v>4.3059178041114698</v>
      </c>
      <c r="M249" s="38" t="s">
        <v>539</v>
      </c>
      <c r="N249" s="38">
        <v>0</v>
      </c>
      <c r="O249" s="38">
        <v>2307.7310000000002</v>
      </c>
      <c r="P249" s="39" t="s">
        <v>540</v>
      </c>
      <c r="Q249" s="39" t="s">
        <v>540</v>
      </c>
      <c r="R249" s="40"/>
      <c r="S249" s="38">
        <v>491.34</v>
      </c>
      <c r="T249" s="39">
        <v>20.412114162269951</v>
      </c>
      <c r="U249" s="39" t="s">
        <v>540</v>
      </c>
      <c r="V249" s="38" t="s">
        <v>539</v>
      </c>
      <c r="W249" s="38" t="s">
        <v>540</v>
      </c>
      <c r="X249" s="38">
        <v>464.13299999999998</v>
      </c>
      <c r="Y249" s="39" t="s">
        <v>540</v>
      </c>
      <c r="Z249" s="39" t="s">
        <v>540</v>
      </c>
      <c r="AA249" s="41" t="s">
        <v>540</v>
      </c>
      <c r="AB249" s="42" t="s">
        <v>540</v>
      </c>
      <c r="AC249" s="40"/>
      <c r="AD249" s="43">
        <v>139.85</v>
      </c>
      <c r="AE249" s="39" t="s">
        <v>539</v>
      </c>
      <c r="AF249" s="39">
        <v>4.0395774438327647</v>
      </c>
      <c r="AG249" s="43" t="s">
        <v>539</v>
      </c>
      <c r="AH249" s="43">
        <v>0</v>
      </c>
      <c r="AI249" s="43">
        <v>134.41999999999999</v>
      </c>
      <c r="AJ249" s="39" t="s">
        <v>539</v>
      </c>
      <c r="AK249" s="39" t="s">
        <v>539</v>
      </c>
      <c r="AL249" s="44"/>
      <c r="AM249" s="43">
        <v>139.85</v>
      </c>
      <c r="AN249" s="39" t="s">
        <v>539</v>
      </c>
      <c r="AO249" s="39">
        <v>6.732097474604859</v>
      </c>
      <c r="AP249" s="43" t="s">
        <v>539</v>
      </c>
      <c r="AQ249" s="43">
        <v>0</v>
      </c>
      <c r="AR249" s="43">
        <v>131.029</v>
      </c>
      <c r="AS249" s="39" t="s">
        <v>539</v>
      </c>
      <c r="AT249" s="39" t="s">
        <v>539</v>
      </c>
      <c r="AU249" s="1">
        <v>93453.909496740001</v>
      </c>
    </row>
    <row r="250" spans="2:47" ht="18" customHeight="1" x14ac:dyDescent="0.25">
      <c r="B250" s="2">
        <f>IF(G250=$B$6,MAX(B$7:B249)+1,IF($B$6="Nifty 500 - All Sector",B249+1,0))</f>
        <v>0</v>
      </c>
      <c r="C250" s="36">
        <v>704</v>
      </c>
      <c r="D250" s="36" t="s">
        <v>269</v>
      </c>
      <c r="E250" s="36" t="s">
        <v>533</v>
      </c>
      <c r="F250" s="36" t="s">
        <v>797</v>
      </c>
      <c r="G250" s="36" t="s">
        <v>563</v>
      </c>
      <c r="H250" s="36" t="s">
        <v>535</v>
      </c>
      <c r="I250" s="37" t="s">
        <v>540</v>
      </c>
      <c r="J250" s="38">
        <v>10162.299999999999</v>
      </c>
      <c r="K250" s="39">
        <v>4.850183807408226</v>
      </c>
      <c r="L250" s="39">
        <v>-3.0658039949598037</v>
      </c>
      <c r="M250" s="38" t="s">
        <v>539</v>
      </c>
      <c r="N250" s="38">
        <v>9692.2099999999991</v>
      </c>
      <c r="O250" s="38">
        <v>10483.709999999999</v>
      </c>
      <c r="P250" s="39" t="s">
        <v>540</v>
      </c>
      <c r="Q250" s="39" t="s">
        <v>540</v>
      </c>
      <c r="R250" s="40"/>
      <c r="S250" s="38">
        <v>571.75</v>
      </c>
      <c r="T250" s="39">
        <v>5.6261869852297215</v>
      </c>
      <c r="U250" s="39">
        <v>29.871265275033743</v>
      </c>
      <c r="V250" s="38" t="s">
        <v>539</v>
      </c>
      <c r="W250" s="38">
        <v>516.35</v>
      </c>
      <c r="X250" s="38">
        <v>434.65000000000299</v>
      </c>
      <c r="Y250" s="39" t="s">
        <v>540</v>
      </c>
      <c r="Z250" s="39" t="s">
        <v>540</v>
      </c>
      <c r="AA250" s="41" t="s">
        <v>540</v>
      </c>
      <c r="AB250" s="42" t="s">
        <v>540</v>
      </c>
      <c r="AC250" s="40"/>
      <c r="AD250" s="43">
        <v>373.8</v>
      </c>
      <c r="AE250" s="39">
        <v>4.2567315040525688</v>
      </c>
      <c r="AF250" s="39">
        <v>-37.04505876131384</v>
      </c>
      <c r="AG250" s="43" t="s">
        <v>539</v>
      </c>
      <c r="AH250" s="43">
        <v>358.53800000000001</v>
      </c>
      <c r="AI250" s="43">
        <v>593.75800000000299</v>
      </c>
      <c r="AJ250" s="39" t="s">
        <v>539</v>
      </c>
      <c r="AK250" s="39" t="s">
        <v>539</v>
      </c>
      <c r="AL250" s="44"/>
      <c r="AM250" s="43">
        <v>373.8</v>
      </c>
      <c r="AN250" s="39">
        <v>4.2567315040525688</v>
      </c>
      <c r="AO250" s="39">
        <v>-37.04505876131384</v>
      </c>
      <c r="AP250" s="43" t="s">
        <v>539</v>
      </c>
      <c r="AQ250" s="43">
        <v>358.53800000000001</v>
      </c>
      <c r="AR250" s="43">
        <v>593.75800000000299</v>
      </c>
      <c r="AS250" s="39" t="s">
        <v>539</v>
      </c>
      <c r="AT250" s="39" t="s">
        <v>539</v>
      </c>
      <c r="AU250" s="1">
        <v>50569.642462625001</v>
      </c>
    </row>
    <row r="251" spans="2:47" ht="18" customHeight="1" x14ac:dyDescent="0.25">
      <c r="B251" s="2">
        <f>IF(G251=$B$6,MAX(B$7:B250)+1,IF($B$6="Nifty 500 - All Sector",B250+1,0))</f>
        <v>0</v>
      </c>
      <c r="C251" s="36">
        <v>2153</v>
      </c>
      <c r="D251" s="36" t="s">
        <v>270</v>
      </c>
      <c r="E251" s="36" t="s">
        <v>533</v>
      </c>
      <c r="F251" s="36" t="s">
        <v>798</v>
      </c>
      <c r="G251" s="36" t="s">
        <v>563</v>
      </c>
      <c r="H251" s="36" t="s">
        <v>535</v>
      </c>
      <c r="I251" s="37" t="s">
        <v>540</v>
      </c>
      <c r="J251" s="38">
        <v>1526.4571428571428</v>
      </c>
      <c r="K251" s="39">
        <v>12.544524561210935</v>
      </c>
      <c r="L251" s="39">
        <v>-1.3116484710056997</v>
      </c>
      <c r="M251" s="38" t="s">
        <v>539</v>
      </c>
      <c r="N251" s="38">
        <v>1356.3140000000003</v>
      </c>
      <c r="O251" s="38">
        <v>1546.7449999999999</v>
      </c>
      <c r="P251" s="39" t="s">
        <v>540</v>
      </c>
      <c r="Q251" s="39" t="s">
        <v>540</v>
      </c>
      <c r="R251" s="40"/>
      <c r="S251" s="38">
        <v>256.8555555555555</v>
      </c>
      <c r="T251" s="39">
        <v>16.8269090788089</v>
      </c>
      <c r="U251" s="39">
        <v>373.20062760655833</v>
      </c>
      <c r="V251" s="38" t="s">
        <v>539</v>
      </c>
      <c r="W251" s="38">
        <v>177.608</v>
      </c>
      <c r="X251" s="38">
        <v>267.18099999999902</v>
      </c>
      <c r="Y251" s="39" t="s">
        <v>540</v>
      </c>
      <c r="Z251" s="39" t="s">
        <v>540</v>
      </c>
      <c r="AA251" s="41" t="s">
        <v>540</v>
      </c>
      <c r="AB251" s="42" t="s">
        <v>540</v>
      </c>
      <c r="AC251" s="40"/>
      <c r="AD251" s="43">
        <v>155.68</v>
      </c>
      <c r="AE251" s="39">
        <v>71.620072316781844</v>
      </c>
      <c r="AF251" s="39">
        <v>0.37912980682432984</v>
      </c>
      <c r="AG251" s="43" t="s">
        <v>539</v>
      </c>
      <c r="AH251" s="43">
        <v>90.712000000000501</v>
      </c>
      <c r="AI251" s="43">
        <v>155.09200000000001</v>
      </c>
      <c r="AJ251" s="39" t="s">
        <v>539</v>
      </c>
      <c r="AK251" s="39" t="s">
        <v>539</v>
      </c>
      <c r="AL251" s="44"/>
      <c r="AM251" s="43">
        <v>155.68</v>
      </c>
      <c r="AN251" s="39">
        <v>71.620072316781844</v>
      </c>
      <c r="AO251" s="39">
        <v>0.37912980682432984</v>
      </c>
      <c r="AP251" s="43" t="s">
        <v>539</v>
      </c>
      <c r="AQ251" s="43">
        <v>90.712000000000501</v>
      </c>
      <c r="AR251" s="43">
        <v>155.09200000000001</v>
      </c>
      <c r="AS251" s="39" t="s">
        <v>539</v>
      </c>
      <c r="AT251" s="39" t="s">
        <v>539</v>
      </c>
      <c r="AU251" s="1">
        <v>38918.773205780002</v>
      </c>
    </row>
    <row r="252" spans="2:47" ht="18" customHeight="1" x14ac:dyDescent="0.25">
      <c r="B252" s="2">
        <f>IF(G252=$B$6,MAX(B$7:B251)+1,IF($B$6="Nifty 500 - All Sector",B251+1,0))</f>
        <v>0</v>
      </c>
      <c r="C252" s="36">
        <v>14548</v>
      </c>
      <c r="D252" s="36" t="s">
        <v>271</v>
      </c>
      <c r="E252" s="36" t="s">
        <v>527</v>
      </c>
      <c r="F252" s="36" t="s">
        <v>799</v>
      </c>
      <c r="G252" s="36" t="s">
        <v>563</v>
      </c>
      <c r="H252" s="36" t="s">
        <v>535</v>
      </c>
      <c r="I252" s="37" t="s">
        <v>540</v>
      </c>
      <c r="J252" s="38">
        <v>2187.8666666666668</v>
      </c>
      <c r="K252" s="39">
        <v>4.026452603823194</v>
      </c>
      <c r="L252" s="39">
        <v>-10.231018769069722</v>
      </c>
      <c r="M252" s="38" t="s">
        <v>539</v>
      </c>
      <c r="N252" s="38">
        <v>2103.183</v>
      </c>
      <c r="O252" s="38">
        <v>2437.2190000000001</v>
      </c>
      <c r="P252" s="39" t="s">
        <v>540</v>
      </c>
      <c r="Q252" s="39" t="s">
        <v>540</v>
      </c>
      <c r="R252" s="40"/>
      <c r="S252" s="38">
        <v>454.4</v>
      </c>
      <c r="T252" s="39">
        <v>20.76909013346334</v>
      </c>
      <c r="U252" s="39">
        <v>229.38552157219937</v>
      </c>
      <c r="V252" s="38" t="s">
        <v>539</v>
      </c>
      <c r="W252" s="38">
        <v>388.56799999999998</v>
      </c>
      <c r="X252" s="38">
        <v>482.36</v>
      </c>
      <c r="Y252" s="39" t="s">
        <v>540</v>
      </c>
      <c r="Z252" s="39" t="s">
        <v>540</v>
      </c>
      <c r="AA252" s="41" t="s">
        <v>540</v>
      </c>
      <c r="AB252" s="42" t="s">
        <v>540</v>
      </c>
      <c r="AC252" s="40"/>
      <c r="AD252" s="43">
        <v>61.6</v>
      </c>
      <c r="AE252" s="39">
        <v>24.502293995189707</v>
      </c>
      <c r="AF252" s="39">
        <v>-14.630597170059612</v>
      </c>
      <c r="AG252" s="43" t="s">
        <v>539</v>
      </c>
      <c r="AH252" s="43">
        <v>49.476999999999997</v>
      </c>
      <c r="AI252" s="43">
        <v>72.156999999999897</v>
      </c>
      <c r="AJ252" s="39" t="s">
        <v>539</v>
      </c>
      <c r="AK252" s="39" t="s">
        <v>539</v>
      </c>
      <c r="AL252" s="44"/>
      <c r="AM252" s="43">
        <v>61.6</v>
      </c>
      <c r="AN252" s="39">
        <v>28.31996667013852</v>
      </c>
      <c r="AO252" s="39">
        <v>-13.120742422746579</v>
      </c>
      <c r="AP252" s="43" t="s">
        <v>539</v>
      </c>
      <c r="AQ252" s="43">
        <v>48.005000000000003</v>
      </c>
      <c r="AR252" s="43">
        <v>70.903000000000006</v>
      </c>
      <c r="AS252" s="39" t="s">
        <v>539</v>
      </c>
      <c r="AT252" s="39" t="s">
        <v>539</v>
      </c>
      <c r="AU252" s="1">
        <v>29996.562792000001</v>
      </c>
    </row>
    <row r="253" spans="2:47" ht="18" customHeight="1" x14ac:dyDescent="0.25">
      <c r="B253" s="2">
        <f>IF(G253=$B$6,MAX(B$7:B252)+1,IF($B$6="Nifty 500 - All Sector",B252+1,0))</f>
        <v>0</v>
      </c>
      <c r="C253" s="36">
        <v>657</v>
      </c>
      <c r="D253" s="36" t="s">
        <v>272</v>
      </c>
      <c r="E253" s="36" t="s">
        <v>527</v>
      </c>
      <c r="F253" s="36" t="s">
        <v>800</v>
      </c>
      <c r="G253" s="36" t="s">
        <v>563</v>
      </c>
      <c r="H253" s="36" t="s">
        <v>535</v>
      </c>
      <c r="I253" s="37" t="s">
        <v>540</v>
      </c>
      <c r="J253" s="38" t="s">
        <v>539</v>
      </c>
      <c r="K253" s="39" t="s">
        <v>540</v>
      </c>
      <c r="L253" s="39" t="s">
        <v>540</v>
      </c>
      <c r="M253" s="38" t="s">
        <v>539</v>
      </c>
      <c r="N253" s="38">
        <v>1573.39</v>
      </c>
      <c r="O253" s="38">
        <v>1828.61</v>
      </c>
      <c r="P253" s="39" t="s">
        <v>540</v>
      </c>
      <c r="Q253" s="39" t="s">
        <v>540</v>
      </c>
      <c r="R253" s="40"/>
      <c r="S253" s="38" t="s">
        <v>539</v>
      </c>
      <c r="T253" s="39" t="s">
        <v>540</v>
      </c>
      <c r="U253" s="39" t="s">
        <v>540</v>
      </c>
      <c r="V253" s="38" t="s">
        <v>539</v>
      </c>
      <c r="W253" s="38">
        <v>269.08</v>
      </c>
      <c r="X253" s="38">
        <v>380.01</v>
      </c>
      <c r="Y253" s="39" t="s">
        <v>540</v>
      </c>
      <c r="Z253" s="39" t="s">
        <v>540</v>
      </c>
      <c r="AA253" s="41" t="s">
        <v>540</v>
      </c>
      <c r="AB253" s="42" t="s">
        <v>540</v>
      </c>
      <c r="AC253" s="40"/>
      <c r="AD253" s="43" t="s">
        <v>540</v>
      </c>
      <c r="AE253" s="39" t="s">
        <v>539</v>
      </c>
      <c r="AF253" s="39" t="s">
        <v>539</v>
      </c>
      <c r="AG253" s="43" t="s">
        <v>539</v>
      </c>
      <c r="AH253" s="43">
        <v>221.72</v>
      </c>
      <c r="AI253" s="43">
        <v>293.69</v>
      </c>
      <c r="AJ253" s="39" t="s">
        <v>539</v>
      </c>
      <c r="AK253" s="39" t="s">
        <v>539</v>
      </c>
      <c r="AL253" s="44"/>
      <c r="AM253" s="43" t="s">
        <v>539</v>
      </c>
      <c r="AN253" s="39" t="s">
        <v>539</v>
      </c>
      <c r="AO253" s="39" t="s">
        <v>539</v>
      </c>
      <c r="AP253" s="43" t="s">
        <v>539</v>
      </c>
      <c r="AQ253" s="43">
        <v>279.29000000000002</v>
      </c>
      <c r="AR253" s="43">
        <v>343.29</v>
      </c>
      <c r="AS253" s="39" t="s">
        <v>539</v>
      </c>
      <c r="AT253" s="39" t="s">
        <v>539</v>
      </c>
      <c r="AU253" s="1">
        <v>32639.9631888</v>
      </c>
    </row>
    <row r="254" spans="2:47" ht="18" customHeight="1" x14ac:dyDescent="0.25">
      <c r="B254" s="2">
        <f>IF(G254=$B$6,MAX(B$7:B253)+1,IF($B$6="Nifty 500 - All Sector",B253+1,0))</f>
        <v>0</v>
      </c>
      <c r="C254" s="36">
        <v>20696</v>
      </c>
      <c r="D254" s="36" t="s">
        <v>273</v>
      </c>
      <c r="E254" s="36" t="s">
        <v>527</v>
      </c>
      <c r="F254" s="36" t="s">
        <v>801</v>
      </c>
      <c r="G254" s="36" t="s">
        <v>563</v>
      </c>
      <c r="H254" s="36" t="s">
        <v>535</v>
      </c>
      <c r="I254" s="37" t="s">
        <v>540</v>
      </c>
      <c r="J254" s="38">
        <v>21488.1</v>
      </c>
      <c r="K254" s="39">
        <v>17.874839752292825</v>
      </c>
      <c r="L254" s="39">
        <v>15.510837960357303</v>
      </c>
      <c r="M254" s="38" t="s">
        <v>539</v>
      </c>
      <c r="N254" s="38">
        <v>18229.59</v>
      </c>
      <c r="O254" s="38">
        <v>18602.669999999998</v>
      </c>
      <c r="P254" s="39" t="s">
        <v>540</v>
      </c>
      <c r="Q254" s="39" t="s">
        <v>540</v>
      </c>
      <c r="R254" s="40"/>
      <c r="S254" s="38">
        <v>527.83333333333326</v>
      </c>
      <c r="T254" s="39">
        <v>2.4563983476125544</v>
      </c>
      <c r="U254" s="39">
        <v>-0.25708338117014229</v>
      </c>
      <c r="V254" s="38" t="s">
        <v>539</v>
      </c>
      <c r="W254" s="38">
        <v>448.259999999998</v>
      </c>
      <c r="X254" s="38">
        <v>553</v>
      </c>
      <c r="Y254" s="39" t="s">
        <v>540</v>
      </c>
      <c r="Z254" s="39" t="s">
        <v>540</v>
      </c>
      <c r="AA254" s="41" t="s">
        <v>540</v>
      </c>
      <c r="AB254" s="42" t="s">
        <v>540</v>
      </c>
      <c r="AC254" s="40"/>
      <c r="AD254" s="43">
        <v>233.4333</v>
      </c>
      <c r="AE254" s="39">
        <v>32.241842284162693</v>
      </c>
      <c r="AF254" s="39">
        <v>-10.845472252988575</v>
      </c>
      <c r="AG254" s="43" t="s">
        <v>539</v>
      </c>
      <c r="AH254" s="43">
        <v>176.519999999997</v>
      </c>
      <c r="AI254" s="43">
        <v>261.83</v>
      </c>
      <c r="AJ254" s="39" t="s">
        <v>539</v>
      </c>
      <c r="AK254" s="39" t="s">
        <v>539</v>
      </c>
      <c r="AL254" s="44"/>
      <c r="AM254" s="43">
        <v>233.4333</v>
      </c>
      <c r="AN254" s="39">
        <v>22.678841706958174</v>
      </c>
      <c r="AO254" s="39">
        <v>-13.163715497358819</v>
      </c>
      <c r="AP254" s="43" t="s">
        <v>539</v>
      </c>
      <c r="AQ254" s="43">
        <v>190.28</v>
      </c>
      <c r="AR254" s="43">
        <v>268.82</v>
      </c>
      <c r="AS254" s="39" t="s">
        <v>539</v>
      </c>
      <c r="AT254" s="39" t="s">
        <v>539</v>
      </c>
      <c r="AU254" s="1">
        <v>23725.632934275</v>
      </c>
    </row>
    <row r="255" spans="2:47" ht="18" customHeight="1" x14ac:dyDescent="0.25">
      <c r="B255" s="2">
        <f>IF(G255=$B$6,MAX(B$7:B254)+1,IF($B$6="Nifty 500 - All Sector",B254+1,0))</f>
        <v>0</v>
      </c>
      <c r="C255" s="36">
        <v>69655</v>
      </c>
      <c r="D255" s="36" t="s">
        <v>274</v>
      </c>
      <c r="E255" s="36" t="s">
        <v>527</v>
      </c>
      <c r="F255" s="36" t="s">
        <v>802</v>
      </c>
      <c r="G255" s="36" t="s">
        <v>563</v>
      </c>
      <c r="H255" s="36" t="s">
        <v>529</v>
      </c>
      <c r="I255" s="37" t="s">
        <v>540</v>
      </c>
      <c r="J255" s="38">
        <v>415.5</v>
      </c>
      <c r="K255" s="39" t="s">
        <v>540</v>
      </c>
      <c r="L255" s="39">
        <v>-8.9153362021531457</v>
      </c>
      <c r="M255" s="38" t="s">
        <v>539</v>
      </c>
      <c r="N255" s="38">
        <v>0</v>
      </c>
      <c r="O255" s="38">
        <v>456.16899999999998</v>
      </c>
      <c r="P255" s="39" t="s">
        <v>540</v>
      </c>
      <c r="Q255" s="39" t="s">
        <v>540</v>
      </c>
      <c r="R255" s="40"/>
      <c r="S255" s="38" t="s">
        <v>539</v>
      </c>
      <c r="T255" s="39" t="s">
        <v>540</v>
      </c>
      <c r="U255" s="39" t="s">
        <v>540</v>
      </c>
      <c r="V255" s="38" t="s">
        <v>539</v>
      </c>
      <c r="W255" s="38" t="s">
        <v>540</v>
      </c>
      <c r="X255" s="38">
        <v>181.244</v>
      </c>
      <c r="Y255" s="39" t="s">
        <v>540</v>
      </c>
      <c r="Z255" s="39" t="s">
        <v>540</v>
      </c>
      <c r="AA255" s="41" t="s">
        <v>540</v>
      </c>
      <c r="AB255" s="42" t="s">
        <v>540</v>
      </c>
      <c r="AC255" s="40"/>
      <c r="AD255" s="43">
        <v>115.9</v>
      </c>
      <c r="AE255" s="39" t="s">
        <v>539</v>
      </c>
      <c r="AF255" s="39">
        <v>0.64171030123045814</v>
      </c>
      <c r="AG255" s="43" t="s">
        <v>539</v>
      </c>
      <c r="AH255" s="43">
        <v>0</v>
      </c>
      <c r="AI255" s="43">
        <v>115.161</v>
      </c>
      <c r="AJ255" s="39" t="s">
        <v>539</v>
      </c>
      <c r="AK255" s="39" t="s">
        <v>539</v>
      </c>
      <c r="AL255" s="44"/>
      <c r="AM255" s="43">
        <v>115.9</v>
      </c>
      <c r="AN255" s="39" t="s">
        <v>539</v>
      </c>
      <c r="AO255" s="39">
        <v>-12.648286881415704</v>
      </c>
      <c r="AP255" s="43" t="s">
        <v>539</v>
      </c>
      <c r="AQ255" s="43">
        <v>0</v>
      </c>
      <c r="AR255" s="43">
        <v>132.68199999999999</v>
      </c>
      <c r="AS255" s="39" t="s">
        <v>539</v>
      </c>
      <c r="AT255" s="39" t="s">
        <v>539</v>
      </c>
      <c r="AU255" s="1">
        <v>17385.642272519999</v>
      </c>
    </row>
    <row r="256" spans="2:47" ht="18" customHeight="1" x14ac:dyDescent="0.25">
      <c r="B256" s="2">
        <f>IF(G256=$B$6,MAX(B$7:B255)+1,IF($B$6="Nifty 500 - All Sector",B255+1,0))</f>
        <v>0</v>
      </c>
      <c r="C256" s="36">
        <v>6367</v>
      </c>
      <c r="D256" s="36" t="s">
        <v>275</v>
      </c>
      <c r="E256" s="36" t="s">
        <v>527</v>
      </c>
      <c r="F256" s="36" t="s">
        <v>803</v>
      </c>
      <c r="G256" s="36" t="s">
        <v>563</v>
      </c>
      <c r="H256" s="36" t="s">
        <v>529</v>
      </c>
      <c r="I256" s="37" t="s">
        <v>540</v>
      </c>
      <c r="J256" s="38">
        <v>1338.4666666666667</v>
      </c>
      <c r="K256" s="39">
        <v>46.584893951009377</v>
      </c>
      <c r="L256" s="39">
        <v>38.715583652882856</v>
      </c>
      <c r="M256" s="38" t="s">
        <v>539</v>
      </c>
      <c r="N256" s="38">
        <v>913.1</v>
      </c>
      <c r="O256" s="38">
        <v>964.9</v>
      </c>
      <c r="P256" s="39" t="s">
        <v>540</v>
      </c>
      <c r="Q256" s="39" t="s">
        <v>540</v>
      </c>
      <c r="R256" s="40"/>
      <c r="S256" s="38">
        <v>264.58000000000004</v>
      </c>
      <c r="T256" s="39">
        <v>19.767395527220206</v>
      </c>
      <c r="U256" s="39">
        <v>-104.08401534281353</v>
      </c>
      <c r="V256" s="38" t="s">
        <v>539</v>
      </c>
      <c r="W256" s="38">
        <v>190</v>
      </c>
      <c r="X256" s="38">
        <v>61</v>
      </c>
      <c r="Y256" s="39" t="s">
        <v>540</v>
      </c>
      <c r="Z256" s="39" t="s">
        <v>540</v>
      </c>
      <c r="AA256" s="41" t="s">
        <v>540</v>
      </c>
      <c r="AB256" s="42" t="s">
        <v>540</v>
      </c>
      <c r="AC256" s="40"/>
      <c r="AD256" s="43">
        <v>188.08330000000001</v>
      </c>
      <c r="AE256" s="39">
        <v>9.414368819080865</v>
      </c>
      <c r="AF256" s="39" t="s">
        <v>547</v>
      </c>
      <c r="AG256" s="43" t="s">
        <v>539</v>
      </c>
      <c r="AH256" s="43">
        <v>171.9</v>
      </c>
      <c r="AI256" s="43">
        <v>-39.9</v>
      </c>
      <c r="AJ256" s="39" t="s">
        <v>539</v>
      </c>
      <c r="AK256" s="39" t="s">
        <v>547</v>
      </c>
      <c r="AL256" s="44"/>
      <c r="AM256" s="43">
        <v>188.08330000000001</v>
      </c>
      <c r="AN256" s="39">
        <v>9.414368819080865</v>
      </c>
      <c r="AO256" s="39" t="s">
        <v>547</v>
      </c>
      <c r="AP256" s="43" t="s">
        <v>539</v>
      </c>
      <c r="AQ256" s="43">
        <v>171.9</v>
      </c>
      <c r="AR256" s="43">
        <v>-39.9</v>
      </c>
      <c r="AS256" s="39" t="s">
        <v>539</v>
      </c>
      <c r="AT256" s="39" t="s">
        <v>547</v>
      </c>
      <c r="AU256" s="1">
        <v>16202.334666000001</v>
      </c>
    </row>
    <row r="257" spans="2:47" ht="18" customHeight="1" x14ac:dyDescent="0.25">
      <c r="B257" s="2">
        <f>IF(G257=$B$6,MAX(B$7:B256)+1,IF($B$6="Nifty 500 - All Sector",B256+1,0))</f>
        <v>0</v>
      </c>
      <c r="C257" s="36">
        <v>4907</v>
      </c>
      <c r="D257" s="36" t="s">
        <v>276</v>
      </c>
      <c r="E257" s="36" t="s">
        <v>527</v>
      </c>
      <c r="F257" s="36" t="s">
        <v>804</v>
      </c>
      <c r="G257" s="36" t="s">
        <v>563</v>
      </c>
      <c r="H257" s="36" t="s">
        <v>529</v>
      </c>
      <c r="I257" s="37" t="s">
        <v>540</v>
      </c>
      <c r="J257" s="38">
        <v>1036.7</v>
      </c>
      <c r="K257" s="39">
        <v>24.029727893109754</v>
      </c>
      <c r="L257" s="39">
        <v>-1.319766030659697</v>
      </c>
      <c r="M257" s="38" t="s">
        <v>539</v>
      </c>
      <c r="N257" s="38">
        <v>835.84799999999996</v>
      </c>
      <c r="O257" s="38">
        <v>1050.5650000000001</v>
      </c>
      <c r="P257" s="39" t="s">
        <v>540</v>
      </c>
      <c r="Q257" s="39" t="s">
        <v>540</v>
      </c>
      <c r="R257" s="40"/>
      <c r="S257" s="38">
        <v>176.53333333333333</v>
      </c>
      <c r="T257" s="39">
        <v>17.028391370052411</v>
      </c>
      <c r="U257" s="39">
        <v>-250.63805023454435</v>
      </c>
      <c r="V257" s="38" t="s">
        <v>539</v>
      </c>
      <c r="W257" s="38">
        <v>163.28100000000001</v>
      </c>
      <c r="X257" s="38">
        <v>184.96299999999999</v>
      </c>
      <c r="Y257" s="39" t="s">
        <v>540</v>
      </c>
      <c r="Z257" s="39" t="s">
        <v>540</v>
      </c>
      <c r="AA257" s="41" t="s">
        <v>540</v>
      </c>
      <c r="AB257" s="42" t="s">
        <v>540</v>
      </c>
      <c r="AC257" s="40"/>
      <c r="AD257" s="43">
        <v>104.2</v>
      </c>
      <c r="AE257" s="39">
        <v>2.2882329266018075</v>
      </c>
      <c r="AF257" s="39">
        <v>3.9225268533016999</v>
      </c>
      <c r="AG257" s="43" t="s">
        <v>539</v>
      </c>
      <c r="AH257" s="43">
        <v>101.869</v>
      </c>
      <c r="AI257" s="43">
        <v>100.267</v>
      </c>
      <c r="AJ257" s="39" t="s">
        <v>539</v>
      </c>
      <c r="AK257" s="39" t="s">
        <v>539</v>
      </c>
      <c r="AL257" s="44"/>
      <c r="AM257" s="43">
        <v>104.2</v>
      </c>
      <c r="AN257" s="39">
        <v>2.2892370518710514</v>
      </c>
      <c r="AO257" s="39">
        <v>3.921490405712702</v>
      </c>
      <c r="AP257" s="43" t="s">
        <v>539</v>
      </c>
      <c r="AQ257" s="43">
        <v>101.86799999999999</v>
      </c>
      <c r="AR257" s="43">
        <v>100.268</v>
      </c>
      <c r="AS257" s="39" t="s">
        <v>539</v>
      </c>
      <c r="AT257" s="39" t="s">
        <v>539</v>
      </c>
      <c r="AU257" s="1">
        <v>14412.3360452</v>
      </c>
    </row>
    <row r="258" spans="2:47" ht="18" customHeight="1" x14ac:dyDescent="0.25">
      <c r="B258" s="2">
        <f>IF(G258=$B$6,MAX(B$7:B257)+1,IF($B$6="Nifty 500 - All Sector",B257+1,0))</f>
        <v>0</v>
      </c>
      <c r="C258" s="36">
        <v>24609</v>
      </c>
      <c r="D258" s="36" t="s">
        <v>277</v>
      </c>
      <c r="E258" s="36" t="s">
        <v>527</v>
      </c>
      <c r="F258" s="36" t="s">
        <v>805</v>
      </c>
      <c r="G258" s="36" t="s">
        <v>563</v>
      </c>
      <c r="H258" s="36" t="s">
        <v>529</v>
      </c>
      <c r="I258" s="37" t="s">
        <v>540</v>
      </c>
      <c r="J258" s="38">
        <v>1383.2727272727273</v>
      </c>
      <c r="K258" s="39">
        <v>14.075787076823708</v>
      </c>
      <c r="L258" s="39">
        <v>-3.999194441189946</v>
      </c>
      <c r="M258" s="38" t="s">
        <v>539</v>
      </c>
      <c r="N258" s="38">
        <v>1212.5909999999999</v>
      </c>
      <c r="O258" s="38">
        <v>1440.8969999999999</v>
      </c>
      <c r="P258" s="39" t="s">
        <v>540</v>
      </c>
      <c r="Q258" s="39" t="s">
        <v>540</v>
      </c>
      <c r="R258" s="40"/>
      <c r="S258" s="38">
        <v>211.2</v>
      </c>
      <c r="T258" s="39">
        <v>15.268138801261829</v>
      </c>
      <c r="U258" s="39">
        <v>-7.0668760397463615</v>
      </c>
      <c r="V258" s="38" t="s">
        <v>539</v>
      </c>
      <c r="W258" s="38">
        <v>185.99700000000001</v>
      </c>
      <c r="X258" s="38">
        <v>231.06700000000001</v>
      </c>
      <c r="Y258" s="39" t="s">
        <v>540</v>
      </c>
      <c r="Z258" s="39" t="s">
        <v>540</v>
      </c>
      <c r="AA258" s="41" t="s">
        <v>540</v>
      </c>
      <c r="AB258" s="42" t="s">
        <v>540</v>
      </c>
      <c r="AC258" s="40"/>
      <c r="AD258" s="43">
        <v>-17.45</v>
      </c>
      <c r="AE258" s="39" t="s">
        <v>548</v>
      </c>
      <c r="AF258" s="39" t="s">
        <v>548</v>
      </c>
      <c r="AG258" s="43" t="s">
        <v>539</v>
      </c>
      <c r="AH258" s="43">
        <v>-16.545000000000002</v>
      </c>
      <c r="AI258" s="43">
        <v>-9.8609999999999705</v>
      </c>
      <c r="AJ258" s="39" t="s">
        <v>547</v>
      </c>
      <c r="AK258" s="39" t="s">
        <v>547</v>
      </c>
      <c r="AL258" s="44"/>
      <c r="AM258" s="43">
        <v>-17.45</v>
      </c>
      <c r="AN258" s="39" t="s">
        <v>548</v>
      </c>
      <c r="AO258" s="39" t="s">
        <v>548</v>
      </c>
      <c r="AP258" s="43" t="s">
        <v>539</v>
      </c>
      <c r="AQ258" s="43">
        <v>-14.738</v>
      </c>
      <c r="AR258" s="43">
        <v>-10.388999999999999</v>
      </c>
      <c r="AS258" s="39" t="s">
        <v>547</v>
      </c>
      <c r="AT258" s="39" t="s">
        <v>547</v>
      </c>
      <c r="AU258" s="1">
        <v>13247.938054295</v>
      </c>
    </row>
    <row r="259" spans="2:47" ht="18" customHeight="1" x14ac:dyDescent="0.25">
      <c r="B259" s="2">
        <f>IF(G259=$B$6,MAX(B$7:B258)+1,IF($B$6="Nifty 500 - All Sector",B258+1,0))</f>
        <v>0</v>
      </c>
      <c r="C259" s="36">
        <v>68245</v>
      </c>
      <c r="D259" s="36" t="s">
        <v>278</v>
      </c>
      <c r="E259" s="36" t="s">
        <v>527</v>
      </c>
      <c r="F259" s="36" t="s">
        <v>806</v>
      </c>
      <c r="G259" s="36" t="s">
        <v>563</v>
      </c>
      <c r="H259" s="36" t="s">
        <v>529</v>
      </c>
      <c r="I259" s="37" t="s">
        <v>540</v>
      </c>
      <c r="J259" s="38">
        <v>1009.525</v>
      </c>
      <c r="K259" s="39">
        <v>9.6536247799106967</v>
      </c>
      <c r="L259" s="39">
        <v>0.6527560923569542</v>
      </c>
      <c r="M259" s="38" t="s">
        <v>539</v>
      </c>
      <c r="N259" s="38">
        <v>920.649</v>
      </c>
      <c r="O259" s="38">
        <v>1002.9780000000001</v>
      </c>
      <c r="P259" s="39" t="s">
        <v>540</v>
      </c>
      <c r="Q259" s="39" t="s">
        <v>540</v>
      </c>
      <c r="R259" s="40"/>
      <c r="S259" s="38">
        <v>151.02000000000001</v>
      </c>
      <c r="T259" s="39">
        <v>14.959510660954411</v>
      </c>
      <c r="U259" s="39">
        <v>19.655539787369314</v>
      </c>
      <c r="V259" s="38" t="s">
        <v>539</v>
      </c>
      <c r="W259" s="38">
        <v>135.91499999999999</v>
      </c>
      <c r="X259" s="38">
        <v>135.71700000000001</v>
      </c>
      <c r="Y259" s="39" t="s">
        <v>540</v>
      </c>
      <c r="Z259" s="39" t="s">
        <v>540</v>
      </c>
      <c r="AA259" s="41" t="s">
        <v>540</v>
      </c>
      <c r="AB259" s="42" t="s">
        <v>540</v>
      </c>
      <c r="AC259" s="40"/>
      <c r="AD259" s="43">
        <v>78.183300000000003</v>
      </c>
      <c r="AE259" s="39">
        <v>-0.55925110972641079</v>
      </c>
      <c r="AF259" s="39">
        <v>22.655862696494466</v>
      </c>
      <c r="AG259" s="43" t="s">
        <v>539</v>
      </c>
      <c r="AH259" s="43">
        <v>78.623000000000204</v>
      </c>
      <c r="AI259" s="43">
        <v>63.742000000000402</v>
      </c>
      <c r="AJ259" s="39" t="s">
        <v>539</v>
      </c>
      <c r="AK259" s="39" t="s">
        <v>539</v>
      </c>
      <c r="AL259" s="44"/>
      <c r="AM259" s="43">
        <v>78.183300000000003</v>
      </c>
      <c r="AN259" s="39">
        <v>-0.58074771108850287</v>
      </c>
      <c r="AO259" s="39">
        <v>17.606010920741898</v>
      </c>
      <c r="AP259" s="43" t="s">
        <v>539</v>
      </c>
      <c r="AQ259" s="43">
        <v>78.64</v>
      </c>
      <c r="AR259" s="43">
        <v>66.478999999999999</v>
      </c>
      <c r="AS259" s="39" t="s">
        <v>539</v>
      </c>
      <c r="AT259" s="39" t="s">
        <v>539</v>
      </c>
      <c r="AU259" s="1">
        <v>14461.014806699999</v>
      </c>
    </row>
    <row r="260" spans="2:47" ht="18" customHeight="1" x14ac:dyDescent="0.25">
      <c r="B260" s="2">
        <f>IF(G260=$B$6,MAX(B$7:B259)+1,IF($B$6="Nifty 500 - All Sector",B259+1,0))</f>
        <v>0</v>
      </c>
      <c r="C260" s="36">
        <v>72573</v>
      </c>
      <c r="D260" s="36" t="s">
        <v>279</v>
      </c>
      <c r="E260" s="36" t="s">
        <v>527</v>
      </c>
      <c r="F260" s="36" t="s">
        <v>807</v>
      </c>
      <c r="G260" s="36" t="s">
        <v>563</v>
      </c>
      <c r="H260" s="36" t="s">
        <v>529</v>
      </c>
      <c r="I260" s="37" t="s">
        <v>540</v>
      </c>
      <c r="J260" s="38">
        <v>785.17272727272734</v>
      </c>
      <c r="K260" s="39">
        <v>10.379231236878983</v>
      </c>
      <c r="L260" s="39">
        <v>-3.5211663294466788</v>
      </c>
      <c r="M260" s="38" t="s">
        <v>539</v>
      </c>
      <c r="N260" s="38">
        <v>711.34100000000001</v>
      </c>
      <c r="O260" s="38">
        <v>813.82899999999995</v>
      </c>
      <c r="P260" s="39" t="s">
        <v>540</v>
      </c>
      <c r="Q260" s="39" t="s">
        <v>540</v>
      </c>
      <c r="R260" s="40"/>
      <c r="S260" s="38">
        <v>120.01538461538462</v>
      </c>
      <c r="T260" s="39">
        <v>15.285220747828859</v>
      </c>
      <c r="U260" s="39">
        <v>35.215770211660669</v>
      </c>
      <c r="V260" s="38" t="s">
        <v>539</v>
      </c>
      <c r="W260" s="38">
        <v>106.22499999999999</v>
      </c>
      <c r="X260" s="38">
        <v>134.209</v>
      </c>
      <c r="Y260" s="39" t="s">
        <v>540</v>
      </c>
      <c r="Z260" s="39" t="s">
        <v>540</v>
      </c>
      <c r="AA260" s="41" t="s">
        <v>540</v>
      </c>
      <c r="AB260" s="42" t="s">
        <v>540</v>
      </c>
      <c r="AC260" s="40"/>
      <c r="AD260" s="43">
        <v>-0.2</v>
      </c>
      <c r="AE260" s="39" t="s">
        <v>808</v>
      </c>
      <c r="AF260" s="39" t="s">
        <v>548</v>
      </c>
      <c r="AG260" s="43" t="s">
        <v>539</v>
      </c>
      <c r="AH260" s="43">
        <v>2.0240000000000302</v>
      </c>
      <c r="AI260" s="43">
        <v>-4.8080000000000203</v>
      </c>
      <c r="AJ260" s="39" t="s">
        <v>539</v>
      </c>
      <c r="AK260" s="39" t="s">
        <v>547</v>
      </c>
      <c r="AL260" s="44"/>
      <c r="AM260" s="43">
        <v>-0.2</v>
      </c>
      <c r="AN260" s="39" t="s">
        <v>808</v>
      </c>
      <c r="AO260" s="39" t="s">
        <v>548</v>
      </c>
      <c r="AP260" s="43" t="s">
        <v>539</v>
      </c>
      <c r="AQ260" s="43">
        <v>1.7909999999999999</v>
      </c>
      <c r="AR260" s="43">
        <v>-4.79</v>
      </c>
      <c r="AS260" s="39" t="s">
        <v>539</v>
      </c>
      <c r="AT260" s="39" t="s">
        <v>547</v>
      </c>
      <c r="AU260" s="1">
        <v>5641.8768972750004</v>
      </c>
    </row>
    <row r="261" spans="2:47" ht="18" customHeight="1" x14ac:dyDescent="0.25">
      <c r="B261" s="2">
        <f>IF(G261=$B$6,MAX(B$7:B260)+1,IF($B$6="Nifty 500 - All Sector",B260+1,0))</f>
        <v>0</v>
      </c>
      <c r="C261" s="36">
        <v>1016</v>
      </c>
      <c r="D261" s="36" t="s">
        <v>280</v>
      </c>
      <c r="E261" s="36" t="s">
        <v>527</v>
      </c>
      <c r="F261" s="36" t="s">
        <v>809</v>
      </c>
      <c r="G261" s="36" t="s">
        <v>810</v>
      </c>
      <c r="H261" s="36" t="s">
        <v>532</v>
      </c>
      <c r="I261" s="37" t="s">
        <v>540</v>
      </c>
      <c r="J261" s="38">
        <v>18890.89</v>
      </c>
      <c r="K261" s="39">
        <v>26.648498256905341</v>
      </c>
      <c r="L261" s="39">
        <v>-25.673237330815233</v>
      </c>
      <c r="M261" s="38" t="s">
        <v>539</v>
      </c>
      <c r="N261" s="38">
        <v>14916</v>
      </c>
      <c r="O261" s="38">
        <v>25416</v>
      </c>
      <c r="P261" s="39" t="s">
        <v>540</v>
      </c>
      <c r="Q261" s="39" t="s">
        <v>540</v>
      </c>
      <c r="R261" s="40"/>
      <c r="S261" s="38">
        <v>2029.2555555555559</v>
      </c>
      <c r="T261" s="39">
        <v>10.741979629099296</v>
      </c>
      <c r="U261" s="39">
        <v>43.760848402018659</v>
      </c>
      <c r="V261" s="38" t="s">
        <v>539</v>
      </c>
      <c r="W261" s="38">
        <v>1537</v>
      </c>
      <c r="X261" s="38">
        <v>2713</v>
      </c>
      <c r="Y261" s="39" t="s">
        <v>540</v>
      </c>
      <c r="Z261" s="39" t="s">
        <v>540</v>
      </c>
      <c r="AA261" s="41" t="s">
        <v>540</v>
      </c>
      <c r="AB261" s="42" t="s">
        <v>540</v>
      </c>
      <c r="AC261" s="40"/>
      <c r="AD261" s="43">
        <v>1265.6500000000001</v>
      </c>
      <c r="AE261" s="39">
        <v>45.309988518943747</v>
      </c>
      <c r="AF261" s="39">
        <v>-24.842636579572442</v>
      </c>
      <c r="AG261" s="43" t="s">
        <v>539</v>
      </c>
      <c r="AH261" s="43">
        <v>871</v>
      </c>
      <c r="AI261" s="43">
        <v>1684</v>
      </c>
      <c r="AJ261" s="39" t="s">
        <v>539</v>
      </c>
      <c r="AK261" s="39" t="s">
        <v>539</v>
      </c>
      <c r="AL261" s="44"/>
      <c r="AM261" s="43">
        <v>1265.6500000000001</v>
      </c>
      <c r="AN261" s="39">
        <v>45.309988518943747</v>
      </c>
      <c r="AO261" s="39">
        <v>-24.842636579572442</v>
      </c>
      <c r="AP261" s="43" t="s">
        <v>539</v>
      </c>
      <c r="AQ261" s="43">
        <v>871</v>
      </c>
      <c r="AR261" s="43">
        <v>1684</v>
      </c>
      <c r="AS261" s="39" t="s">
        <v>539</v>
      </c>
      <c r="AT261" s="39" t="s">
        <v>539</v>
      </c>
      <c r="AU261" s="1">
        <v>401585.63054520002</v>
      </c>
    </row>
    <row r="262" spans="2:47" ht="18" customHeight="1" x14ac:dyDescent="0.25">
      <c r="B262" s="2">
        <f>IF(G262=$B$6,MAX(B$7:B261)+1,IF($B$6="Nifty 500 - All Sector",B261+1,0))</f>
        <v>0</v>
      </c>
      <c r="C262" s="36">
        <v>40942</v>
      </c>
      <c r="D262" s="36" t="s">
        <v>281</v>
      </c>
      <c r="E262" s="36" t="s">
        <v>527</v>
      </c>
      <c r="F262" s="36" t="s">
        <v>811</v>
      </c>
      <c r="G262" s="36" t="s">
        <v>810</v>
      </c>
      <c r="H262" s="36" t="s">
        <v>532</v>
      </c>
      <c r="I262" s="37" t="s">
        <v>540</v>
      </c>
      <c r="J262" s="38">
        <v>16079.9</v>
      </c>
      <c r="K262" s="39">
        <v>8.1229920131039357</v>
      </c>
      <c r="L262" s="39">
        <v>-11.165092525888253</v>
      </c>
      <c r="M262" s="38" t="s">
        <v>539</v>
      </c>
      <c r="N262" s="38">
        <v>14871.86</v>
      </c>
      <c r="O262" s="38">
        <v>18100.88</v>
      </c>
      <c r="P262" s="39" t="s">
        <v>540</v>
      </c>
      <c r="Q262" s="39" t="s">
        <v>540</v>
      </c>
      <c r="R262" s="40"/>
      <c r="S262" s="38">
        <v>1065.3499999999999</v>
      </c>
      <c r="T262" s="39">
        <v>6.6253521477123618</v>
      </c>
      <c r="U262" s="39">
        <v>20.33578578252806</v>
      </c>
      <c r="V262" s="38" t="s">
        <v>539</v>
      </c>
      <c r="W262" s="38">
        <v>955.07000000000096</v>
      </c>
      <c r="X262" s="38">
        <v>1463.37</v>
      </c>
      <c r="Y262" s="39" t="s">
        <v>540</v>
      </c>
      <c r="Z262" s="39" t="s">
        <v>540</v>
      </c>
      <c r="AA262" s="41" t="s">
        <v>540</v>
      </c>
      <c r="AB262" s="42" t="s">
        <v>540</v>
      </c>
      <c r="AC262" s="40"/>
      <c r="AD262" s="43">
        <v>619.70000000000005</v>
      </c>
      <c r="AE262" s="39">
        <v>12.511120390711339</v>
      </c>
      <c r="AF262" s="39">
        <v>-27.586529248171253</v>
      </c>
      <c r="AG262" s="43" t="s">
        <v>539</v>
      </c>
      <c r="AH262" s="43">
        <v>550.79000000000099</v>
      </c>
      <c r="AI262" s="43">
        <v>855.78</v>
      </c>
      <c r="AJ262" s="39" t="s">
        <v>539</v>
      </c>
      <c r="AK262" s="39" t="s">
        <v>539</v>
      </c>
      <c r="AL262" s="44"/>
      <c r="AM262" s="43">
        <v>619.70000000000005</v>
      </c>
      <c r="AN262" s="39">
        <v>12.488654928299159</v>
      </c>
      <c r="AO262" s="39">
        <v>-27.598373679783151</v>
      </c>
      <c r="AP262" s="43" t="s">
        <v>539</v>
      </c>
      <c r="AQ262" s="43">
        <v>550.9</v>
      </c>
      <c r="AR262" s="43">
        <v>855.92</v>
      </c>
      <c r="AS262" s="39" t="s">
        <v>539</v>
      </c>
      <c r="AT262" s="39" t="s">
        <v>539</v>
      </c>
      <c r="AU262" s="1">
        <v>291415.94859415502</v>
      </c>
    </row>
    <row r="263" spans="2:47" ht="18" customHeight="1" x14ac:dyDescent="0.25">
      <c r="B263" s="2">
        <f>IF(G263=$B$6,MAX(B$7:B262)+1,IF($B$6="Nifty 500 - All Sector",B262+1,0))</f>
        <v>0</v>
      </c>
      <c r="C263" s="36">
        <v>345</v>
      </c>
      <c r="D263" s="36" t="s">
        <v>282</v>
      </c>
      <c r="E263" s="36" t="s">
        <v>533</v>
      </c>
      <c r="F263" s="36" t="s">
        <v>812</v>
      </c>
      <c r="G263" s="36" t="s">
        <v>810</v>
      </c>
      <c r="H263" s="36" t="s">
        <v>532</v>
      </c>
      <c r="I263" s="37" t="s">
        <v>540</v>
      </c>
      <c r="J263" s="38">
        <v>4843.0363636363636</v>
      </c>
      <c r="K263" s="39">
        <v>17.947355486626314</v>
      </c>
      <c r="L263" s="39">
        <v>-7.9176120051038801</v>
      </c>
      <c r="M263" s="38" t="s">
        <v>539</v>
      </c>
      <c r="N263" s="38">
        <v>4106.1000000000004</v>
      </c>
      <c r="O263" s="38">
        <v>5259.46</v>
      </c>
      <c r="P263" s="39" t="s">
        <v>540</v>
      </c>
      <c r="Q263" s="39" t="s">
        <v>540</v>
      </c>
      <c r="R263" s="40"/>
      <c r="S263" s="38">
        <v>794.68888888888898</v>
      </c>
      <c r="T263" s="39">
        <v>16.408897832272352</v>
      </c>
      <c r="U263" s="39">
        <v>42.316928206656357</v>
      </c>
      <c r="V263" s="38" t="s">
        <v>539</v>
      </c>
      <c r="W263" s="38">
        <v>656.39</v>
      </c>
      <c r="X263" s="38">
        <v>1073.3499999999999</v>
      </c>
      <c r="Y263" s="39" t="s">
        <v>540</v>
      </c>
      <c r="Z263" s="39" t="s">
        <v>540</v>
      </c>
      <c r="AA263" s="41" t="s">
        <v>540</v>
      </c>
      <c r="AB263" s="42" t="s">
        <v>540</v>
      </c>
      <c r="AC263" s="40"/>
      <c r="AD263" s="43">
        <v>375.02499999999998</v>
      </c>
      <c r="AE263" s="39">
        <v>7.1744970278920794</v>
      </c>
      <c r="AF263" s="39">
        <v>-41.375779650153987</v>
      </c>
      <c r="AG263" s="43" t="s">
        <v>539</v>
      </c>
      <c r="AH263" s="43">
        <v>349.92</v>
      </c>
      <c r="AI263" s="43">
        <v>639.71</v>
      </c>
      <c r="AJ263" s="39" t="s">
        <v>539</v>
      </c>
      <c r="AK263" s="39" t="s">
        <v>539</v>
      </c>
      <c r="AL263" s="44"/>
      <c r="AM263" s="43">
        <v>375.02499999999998</v>
      </c>
      <c r="AN263" s="39">
        <v>7.1744970278920794</v>
      </c>
      <c r="AO263" s="39">
        <v>-41.375779650153987</v>
      </c>
      <c r="AP263" s="43" t="s">
        <v>539</v>
      </c>
      <c r="AQ263" s="43">
        <v>349.92</v>
      </c>
      <c r="AR263" s="43">
        <v>639.71</v>
      </c>
      <c r="AS263" s="39" t="s">
        <v>539</v>
      </c>
      <c r="AT263" s="39" t="s">
        <v>539</v>
      </c>
      <c r="AU263" s="1">
        <v>141386.25042622499</v>
      </c>
    </row>
    <row r="264" spans="2:47" ht="18" customHeight="1" x14ac:dyDescent="0.25">
      <c r="B264" s="2">
        <f>IF(G264=$B$6,MAX(B$7:B263)+1,IF($B$6="Nifty 500 - All Sector",B263+1,0))</f>
        <v>0</v>
      </c>
      <c r="C264" s="36">
        <v>42402</v>
      </c>
      <c r="D264" s="36" t="s">
        <v>283</v>
      </c>
      <c r="E264" s="36" t="s">
        <v>527</v>
      </c>
      <c r="F264" s="36" t="s">
        <v>813</v>
      </c>
      <c r="G264" s="36" t="s">
        <v>810</v>
      </c>
      <c r="H264" s="36" t="s">
        <v>535</v>
      </c>
      <c r="I264" s="37" t="s">
        <v>540</v>
      </c>
      <c r="J264" s="38">
        <v>9377.14</v>
      </c>
      <c r="K264" s="39">
        <v>51.696002966254007</v>
      </c>
      <c r="L264" s="39">
        <v>-9.3419515040339185</v>
      </c>
      <c r="M264" s="38" t="s">
        <v>539</v>
      </c>
      <c r="N264" s="38">
        <v>6181.5339999999997</v>
      </c>
      <c r="O264" s="38">
        <v>10343.416999999999</v>
      </c>
      <c r="P264" s="39" t="s">
        <v>540</v>
      </c>
      <c r="Q264" s="39" t="s">
        <v>540</v>
      </c>
      <c r="R264" s="40"/>
      <c r="S264" s="38">
        <v>611.7166666666667</v>
      </c>
      <c r="T264" s="39">
        <v>6.5234886827611263</v>
      </c>
      <c r="U264" s="39">
        <v>6.229312838904022</v>
      </c>
      <c r="V264" s="38" t="s">
        <v>539</v>
      </c>
      <c r="W264" s="38">
        <v>399.40099999999899</v>
      </c>
      <c r="X264" s="38">
        <v>750.48200000000099</v>
      </c>
      <c r="Y264" s="39" t="s">
        <v>540</v>
      </c>
      <c r="Z264" s="39" t="s">
        <v>540</v>
      </c>
      <c r="AA264" s="41" t="s">
        <v>540</v>
      </c>
      <c r="AB264" s="42" t="s">
        <v>540</v>
      </c>
      <c r="AC264" s="40"/>
      <c r="AD264" s="43">
        <v>346.15</v>
      </c>
      <c r="AE264" s="39">
        <v>84.510007729005096</v>
      </c>
      <c r="AF264" s="39">
        <v>-16.850429259809086</v>
      </c>
      <c r="AG264" s="43" t="s">
        <v>539</v>
      </c>
      <c r="AH264" s="43">
        <v>187.60499999999999</v>
      </c>
      <c r="AI264" s="43">
        <v>416.298</v>
      </c>
      <c r="AJ264" s="39" t="s">
        <v>539</v>
      </c>
      <c r="AK264" s="39" t="s">
        <v>539</v>
      </c>
      <c r="AL264" s="44"/>
      <c r="AM264" s="43">
        <v>346.15</v>
      </c>
      <c r="AN264" s="39">
        <v>84.510007729005096</v>
      </c>
      <c r="AO264" s="39">
        <v>-16.850429259809086</v>
      </c>
      <c r="AP264" s="43" t="s">
        <v>539</v>
      </c>
      <c r="AQ264" s="43">
        <v>187.60499999999999</v>
      </c>
      <c r="AR264" s="43">
        <v>416.298</v>
      </c>
      <c r="AS264" s="39" t="s">
        <v>539</v>
      </c>
      <c r="AT264" s="39" t="s">
        <v>539</v>
      </c>
      <c r="AU264" s="1">
        <v>45703.917860784997</v>
      </c>
    </row>
    <row r="265" spans="2:47" ht="18" customHeight="1" x14ac:dyDescent="0.25">
      <c r="B265" s="2">
        <f>IF(G265=$B$6,MAX(B$7:B264)+1,IF($B$6="Nifty 500 - All Sector",B264+1,0))</f>
        <v>0</v>
      </c>
      <c r="C265" s="36">
        <v>12521</v>
      </c>
      <c r="D265" s="36" t="s">
        <v>284</v>
      </c>
      <c r="E265" s="36" t="s">
        <v>533</v>
      </c>
      <c r="F265" s="36" t="s">
        <v>814</v>
      </c>
      <c r="G265" s="36" t="s">
        <v>810</v>
      </c>
      <c r="H265" s="36" t="s">
        <v>535</v>
      </c>
      <c r="I265" s="37" t="s">
        <v>540</v>
      </c>
      <c r="J265" s="38">
        <v>1175.0250000000001</v>
      </c>
      <c r="K265" s="39">
        <v>7.0082053056726989</v>
      </c>
      <c r="L265" s="39">
        <v>-15.268139984150064</v>
      </c>
      <c r="M265" s="38" t="s">
        <v>539</v>
      </c>
      <c r="N265" s="38">
        <v>1098.07</v>
      </c>
      <c r="O265" s="38">
        <v>1386.7570000000001</v>
      </c>
      <c r="P265" s="39" t="s">
        <v>540</v>
      </c>
      <c r="Q265" s="39" t="s">
        <v>540</v>
      </c>
      <c r="R265" s="40"/>
      <c r="S265" s="38">
        <v>241.16923076923075</v>
      </c>
      <c r="T265" s="39">
        <v>20.524604222823406</v>
      </c>
      <c r="U265" s="39">
        <v>-89.743626639859642</v>
      </c>
      <c r="V265" s="38" t="s">
        <v>539</v>
      </c>
      <c r="W265" s="38">
        <v>235.22900000000001</v>
      </c>
      <c r="X265" s="38">
        <v>318.09800000000001</v>
      </c>
      <c r="Y265" s="39" t="s">
        <v>540</v>
      </c>
      <c r="Z265" s="39" t="s">
        <v>540</v>
      </c>
      <c r="AA265" s="41" t="s">
        <v>540</v>
      </c>
      <c r="AB265" s="42" t="s">
        <v>540</v>
      </c>
      <c r="AC265" s="40"/>
      <c r="AD265" s="43">
        <v>163.24170000000001</v>
      </c>
      <c r="AE265" s="39">
        <v>-0.46480573644543943</v>
      </c>
      <c r="AF265" s="39">
        <v>-13.872530139552053</v>
      </c>
      <c r="AG265" s="43" t="s">
        <v>539</v>
      </c>
      <c r="AH265" s="43">
        <v>164.00399999999999</v>
      </c>
      <c r="AI265" s="43">
        <v>189.535</v>
      </c>
      <c r="AJ265" s="39" t="s">
        <v>539</v>
      </c>
      <c r="AK265" s="39" t="s">
        <v>539</v>
      </c>
      <c r="AL265" s="44"/>
      <c r="AM265" s="43">
        <v>163.24170000000001</v>
      </c>
      <c r="AN265" s="39">
        <v>-0.46480573644543943</v>
      </c>
      <c r="AO265" s="39">
        <v>-13.872530139552053</v>
      </c>
      <c r="AP265" s="43" t="s">
        <v>539</v>
      </c>
      <c r="AQ265" s="43">
        <v>164.00399999999999</v>
      </c>
      <c r="AR265" s="43">
        <v>189.535</v>
      </c>
      <c r="AS265" s="39" t="s">
        <v>539</v>
      </c>
      <c r="AT265" s="39" t="s">
        <v>539</v>
      </c>
      <c r="AU265" s="1">
        <v>40742.257484130001</v>
      </c>
    </row>
    <row r="266" spans="2:47" ht="18" customHeight="1" x14ac:dyDescent="0.25">
      <c r="B266" s="2">
        <f>IF(G266=$B$6,MAX(B$7:B265)+1,IF($B$6="Nifty 500 - All Sector",B265+1,0))</f>
        <v>0</v>
      </c>
      <c r="C266" s="36">
        <v>28009</v>
      </c>
      <c r="D266" s="36" t="s">
        <v>285</v>
      </c>
      <c r="E266" s="36" t="s">
        <v>527</v>
      </c>
      <c r="F266" s="36" t="s">
        <v>815</v>
      </c>
      <c r="G266" s="36" t="s">
        <v>810</v>
      </c>
      <c r="H266" s="36" t="s">
        <v>535</v>
      </c>
      <c r="I266" s="37" t="s">
        <v>540</v>
      </c>
      <c r="J266" s="38">
        <v>1855.125</v>
      </c>
      <c r="K266" s="39">
        <v>4.869755452294533</v>
      </c>
      <c r="L266" s="39">
        <v>26.420861103160643</v>
      </c>
      <c r="M266" s="38" t="s">
        <v>539</v>
      </c>
      <c r="N266" s="38">
        <v>1768.98</v>
      </c>
      <c r="O266" s="38">
        <v>1467.42</v>
      </c>
      <c r="P266" s="39" t="s">
        <v>540</v>
      </c>
      <c r="Q266" s="39" t="s">
        <v>540</v>
      </c>
      <c r="R266" s="40"/>
      <c r="S266" s="38">
        <v>368.46666666666664</v>
      </c>
      <c r="T266" s="39">
        <v>19.862093749298115</v>
      </c>
      <c r="U266" s="39">
        <v>105.63412817744542</v>
      </c>
      <c r="V266" s="38" t="s">
        <v>539</v>
      </c>
      <c r="W266" s="38">
        <v>332.67</v>
      </c>
      <c r="X266" s="38">
        <v>294.51</v>
      </c>
      <c r="Y266" s="39" t="s">
        <v>540</v>
      </c>
      <c r="Z266" s="39" t="s">
        <v>540</v>
      </c>
      <c r="AA266" s="41" t="s">
        <v>540</v>
      </c>
      <c r="AB266" s="42" t="s">
        <v>540</v>
      </c>
      <c r="AC266" s="40"/>
      <c r="AD266" s="43">
        <v>240.75</v>
      </c>
      <c r="AE266" s="39">
        <v>17.697384502566592</v>
      </c>
      <c r="AF266" s="39">
        <v>15.412272291466934</v>
      </c>
      <c r="AG266" s="43" t="s">
        <v>539</v>
      </c>
      <c r="AH266" s="43">
        <v>204.55</v>
      </c>
      <c r="AI266" s="43">
        <v>208.6</v>
      </c>
      <c r="AJ266" s="39" t="s">
        <v>539</v>
      </c>
      <c r="AK266" s="39" t="s">
        <v>539</v>
      </c>
      <c r="AL266" s="44"/>
      <c r="AM266" s="43">
        <v>240.75</v>
      </c>
      <c r="AN266" s="39">
        <v>17.697384502566592</v>
      </c>
      <c r="AO266" s="39">
        <v>15.412272291466934</v>
      </c>
      <c r="AP266" s="43" t="s">
        <v>539</v>
      </c>
      <c r="AQ266" s="43">
        <v>204.55</v>
      </c>
      <c r="AR266" s="43">
        <v>208.6</v>
      </c>
      <c r="AS266" s="39" t="s">
        <v>539</v>
      </c>
      <c r="AT266" s="39" t="s">
        <v>539</v>
      </c>
      <c r="AU266" s="1">
        <v>31007.657009999999</v>
      </c>
    </row>
    <row r="267" spans="2:47" ht="18" customHeight="1" x14ac:dyDescent="0.25">
      <c r="B267" s="2">
        <f>IF(G267=$B$6,MAX(B$7:B266)+1,IF($B$6="Nifty 500 - All Sector",B266+1,0))</f>
        <v>0</v>
      </c>
      <c r="C267" s="36">
        <v>84318</v>
      </c>
      <c r="D267" s="36" t="s">
        <v>286</v>
      </c>
      <c r="E267" s="36" t="s">
        <v>527</v>
      </c>
      <c r="F267" s="36" t="s">
        <v>816</v>
      </c>
      <c r="G267" s="36" t="s">
        <v>810</v>
      </c>
      <c r="H267" s="36" t="s">
        <v>529</v>
      </c>
      <c r="I267" s="37" t="s">
        <v>540</v>
      </c>
      <c r="J267" s="38">
        <v>610.91666666666674</v>
      </c>
      <c r="K267" s="39">
        <v>20.08638488054919</v>
      </c>
      <c r="L267" s="39">
        <v>3.1615765554306119</v>
      </c>
      <c r="M267" s="38" t="s">
        <v>539</v>
      </c>
      <c r="N267" s="38">
        <v>508.73099999999999</v>
      </c>
      <c r="O267" s="38">
        <v>592.19399999999996</v>
      </c>
      <c r="P267" s="39" t="s">
        <v>540</v>
      </c>
      <c r="Q267" s="39" t="s">
        <v>540</v>
      </c>
      <c r="R267" s="40"/>
      <c r="S267" s="38">
        <v>101.91666666666666</v>
      </c>
      <c r="T267" s="39">
        <v>16.682580821170369</v>
      </c>
      <c r="U267" s="39">
        <v>-66.686318754936735</v>
      </c>
      <c r="V267" s="38" t="s">
        <v>539</v>
      </c>
      <c r="W267" s="38">
        <v>88.262</v>
      </c>
      <c r="X267" s="38">
        <v>103.40300000000001</v>
      </c>
      <c r="Y267" s="39" t="s">
        <v>540</v>
      </c>
      <c r="Z267" s="39" t="s">
        <v>540</v>
      </c>
      <c r="AA267" s="41" t="s">
        <v>540</v>
      </c>
      <c r="AB267" s="42" t="s">
        <v>540</v>
      </c>
      <c r="AC267" s="40"/>
      <c r="AD267" s="43">
        <v>56.924999999999997</v>
      </c>
      <c r="AE267" s="39">
        <v>11.016849988298617</v>
      </c>
      <c r="AF267" s="39">
        <v>-7.2792129524057785</v>
      </c>
      <c r="AG267" s="43" t="s">
        <v>539</v>
      </c>
      <c r="AH267" s="43">
        <v>51.276000000000003</v>
      </c>
      <c r="AI267" s="43">
        <v>61.393999999999998</v>
      </c>
      <c r="AJ267" s="39" t="s">
        <v>539</v>
      </c>
      <c r="AK267" s="39" t="s">
        <v>539</v>
      </c>
      <c r="AL267" s="44"/>
      <c r="AM267" s="43">
        <v>56.924999999999997</v>
      </c>
      <c r="AN267" s="39">
        <v>17.523793794000465</v>
      </c>
      <c r="AO267" s="39">
        <v>-1.6839378238342029</v>
      </c>
      <c r="AP267" s="43" t="s">
        <v>539</v>
      </c>
      <c r="AQ267" s="43">
        <v>48.436999999999998</v>
      </c>
      <c r="AR267" s="43">
        <v>57.9</v>
      </c>
      <c r="AS267" s="39" t="s">
        <v>539</v>
      </c>
      <c r="AT267" s="39" t="s">
        <v>539</v>
      </c>
      <c r="AU267" s="1">
        <v>14520.89815472</v>
      </c>
    </row>
    <row r="268" spans="2:47" ht="18" customHeight="1" x14ac:dyDescent="0.25">
      <c r="B268" s="2">
        <f>IF(G268=$B$6,MAX(B$7:B267)+1,IF($B$6="Nifty 500 - All Sector",B267+1,0))</f>
        <v>0</v>
      </c>
      <c r="C268" s="36">
        <v>79071</v>
      </c>
      <c r="D268" s="36" t="s">
        <v>287</v>
      </c>
      <c r="E268" s="36" t="s">
        <v>533</v>
      </c>
      <c r="F268" s="36" t="s">
        <v>817</v>
      </c>
      <c r="G268" s="36" t="s">
        <v>810</v>
      </c>
      <c r="H268" s="36" t="s">
        <v>529</v>
      </c>
      <c r="I268" s="37" t="s">
        <v>540</v>
      </c>
      <c r="J268" s="38" t="s">
        <v>539</v>
      </c>
      <c r="K268" s="39" t="s">
        <v>540</v>
      </c>
      <c r="L268" s="39" t="s">
        <v>540</v>
      </c>
      <c r="M268" s="38" t="s">
        <v>539</v>
      </c>
      <c r="N268" s="38">
        <v>234.20099999999999</v>
      </c>
      <c r="O268" s="38">
        <v>247.04499999999999</v>
      </c>
      <c r="P268" s="39" t="s">
        <v>540</v>
      </c>
      <c r="Q268" s="39" t="s">
        <v>540</v>
      </c>
      <c r="R268" s="40"/>
      <c r="S268" s="38" t="s">
        <v>539</v>
      </c>
      <c r="T268" s="39" t="s">
        <v>540</v>
      </c>
      <c r="U268" s="39" t="s">
        <v>540</v>
      </c>
      <c r="V268" s="38" t="s">
        <v>539</v>
      </c>
      <c r="W268" s="38">
        <v>181.85</v>
      </c>
      <c r="X268" s="38">
        <v>171.72300000000001</v>
      </c>
      <c r="Y268" s="39" t="s">
        <v>540</v>
      </c>
      <c r="Z268" s="39" t="s">
        <v>540</v>
      </c>
      <c r="AA268" s="41" t="s">
        <v>540</v>
      </c>
      <c r="AB268" s="42" t="s">
        <v>540</v>
      </c>
      <c r="AC268" s="40"/>
      <c r="AD268" s="43" t="s">
        <v>540</v>
      </c>
      <c r="AE268" s="39" t="s">
        <v>539</v>
      </c>
      <c r="AF268" s="39" t="s">
        <v>539</v>
      </c>
      <c r="AG268" s="43" t="s">
        <v>539</v>
      </c>
      <c r="AH268" s="43">
        <v>139.143</v>
      </c>
      <c r="AI268" s="43">
        <v>131.49700000000001</v>
      </c>
      <c r="AJ268" s="39" t="s">
        <v>539</v>
      </c>
      <c r="AK268" s="39" t="s">
        <v>539</v>
      </c>
      <c r="AL268" s="44"/>
      <c r="AM268" s="43" t="s">
        <v>539</v>
      </c>
      <c r="AN268" s="39" t="s">
        <v>539</v>
      </c>
      <c r="AO268" s="39" t="s">
        <v>539</v>
      </c>
      <c r="AP268" s="43" t="s">
        <v>539</v>
      </c>
      <c r="AQ268" s="43">
        <v>139.143</v>
      </c>
      <c r="AR268" s="43">
        <v>131.49700000000001</v>
      </c>
      <c r="AS268" s="39" t="s">
        <v>539</v>
      </c>
      <c r="AT268" s="39" t="s">
        <v>539</v>
      </c>
      <c r="AU268" s="1">
        <v>15158.001337199999</v>
      </c>
    </row>
    <row r="269" spans="2:47" ht="18" customHeight="1" x14ac:dyDescent="0.25">
      <c r="B269" s="2">
        <f>IF(G269=$B$6,MAX(B$7:B268)+1,IF($B$6="Nifty 500 - All Sector",B268+1,0))</f>
        <v>0</v>
      </c>
      <c r="C269" s="36">
        <v>2970</v>
      </c>
      <c r="D269" s="36" t="s">
        <v>288</v>
      </c>
      <c r="E269" s="36" t="s">
        <v>527</v>
      </c>
      <c r="F269" s="36" t="s">
        <v>818</v>
      </c>
      <c r="G269" s="36" t="s">
        <v>810</v>
      </c>
      <c r="H269" s="36" t="s">
        <v>529</v>
      </c>
      <c r="I269" s="37" t="s">
        <v>540</v>
      </c>
      <c r="J269" s="38" t="s">
        <v>539</v>
      </c>
      <c r="K269" s="39" t="s">
        <v>540</v>
      </c>
      <c r="L269" s="39" t="s">
        <v>540</v>
      </c>
      <c r="M269" s="38" t="s">
        <v>539</v>
      </c>
      <c r="N269" s="38">
        <v>1864.34</v>
      </c>
      <c r="O269" s="38">
        <v>1574.46</v>
      </c>
      <c r="P269" s="39" t="s">
        <v>540</v>
      </c>
      <c r="Q269" s="39" t="s">
        <v>540</v>
      </c>
      <c r="R269" s="40"/>
      <c r="S269" s="38" t="s">
        <v>539</v>
      </c>
      <c r="T269" s="39" t="s">
        <v>540</v>
      </c>
      <c r="U269" s="39" t="s">
        <v>540</v>
      </c>
      <c r="V269" s="38" t="s">
        <v>539</v>
      </c>
      <c r="W269" s="38">
        <v>245.05</v>
      </c>
      <c r="X269" s="38">
        <v>135.78</v>
      </c>
      <c r="Y269" s="39" t="s">
        <v>540</v>
      </c>
      <c r="Z269" s="39" t="s">
        <v>540</v>
      </c>
      <c r="AA269" s="41" t="s">
        <v>540</v>
      </c>
      <c r="AB269" s="42" t="s">
        <v>540</v>
      </c>
      <c r="AC269" s="40"/>
      <c r="AD269" s="43" t="s">
        <v>540</v>
      </c>
      <c r="AE269" s="39" t="s">
        <v>539</v>
      </c>
      <c r="AF269" s="39" t="s">
        <v>539</v>
      </c>
      <c r="AG269" s="43" t="s">
        <v>539</v>
      </c>
      <c r="AH269" s="43">
        <v>133.41999999999999</v>
      </c>
      <c r="AI269" s="43">
        <v>41.220000000000098</v>
      </c>
      <c r="AJ269" s="39" t="s">
        <v>539</v>
      </c>
      <c r="AK269" s="39" t="s">
        <v>539</v>
      </c>
      <c r="AL269" s="44"/>
      <c r="AM269" s="43" t="s">
        <v>539</v>
      </c>
      <c r="AN269" s="39" t="s">
        <v>539</v>
      </c>
      <c r="AO269" s="39" t="s">
        <v>539</v>
      </c>
      <c r="AP269" s="43" t="s">
        <v>539</v>
      </c>
      <c r="AQ269" s="43">
        <v>133.26</v>
      </c>
      <c r="AR269" s="43">
        <v>44.24</v>
      </c>
      <c r="AS269" s="39" t="s">
        <v>539</v>
      </c>
      <c r="AT269" s="39" t="s">
        <v>539</v>
      </c>
      <c r="AU269" s="1">
        <v>13111.89393891</v>
      </c>
    </row>
    <row r="270" spans="2:47" ht="18" customHeight="1" x14ac:dyDescent="0.25">
      <c r="B270" s="2">
        <f>IF(G270=$B$6,MAX(B$7:B269)+1,IF($B$6="Nifty 500 - All Sector",B269+1,0))</f>
        <v>0</v>
      </c>
      <c r="C270" s="36">
        <v>68149</v>
      </c>
      <c r="D270" s="36" t="s">
        <v>289</v>
      </c>
      <c r="E270" s="36" t="s">
        <v>527</v>
      </c>
      <c r="F270" s="36" t="s">
        <v>819</v>
      </c>
      <c r="G270" s="36" t="s">
        <v>810</v>
      </c>
      <c r="H270" s="36" t="s">
        <v>529</v>
      </c>
      <c r="I270" s="37" t="s">
        <v>540</v>
      </c>
      <c r="J270" s="38">
        <v>2149.25</v>
      </c>
      <c r="K270" s="39">
        <v>11.341931239201886</v>
      </c>
      <c r="L270" s="39">
        <v>-11.321071565762274</v>
      </c>
      <c r="M270" s="38" t="s">
        <v>539</v>
      </c>
      <c r="N270" s="38">
        <v>1930.3150000000001</v>
      </c>
      <c r="O270" s="38">
        <v>2423.6309999999999</v>
      </c>
      <c r="P270" s="39" t="s">
        <v>540</v>
      </c>
      <c r="Q270" s="39" t="s">
        <v>540</v>
      </c>
      <c r="R270" s="40"/>
      <c r="S270" s="38">
        <v>47.85</v>
      </c>
      <c r="T270" s="39">
        <v>2.2263580318715834</v>
      </c>
      <c r="U270" s="39">
        <v>140.35389583006793</v>
      </c>
      <c r="V270" s="38" t="s">
        <v>539</v>
      </c>
      <c r="W270" s="38">
        <v>15.8830000000002</v>
      </c>
      <c r="X270" s="38">
        <v>96.996000000000294</v>
      </c>
      <c r="Y270" s="39" t="s">
        <v>540</v>
      </c>
      <c r="Z270" s="39" t="s">
        <v>540</v>
      </c>
      <c r="AA270" s="41" t="s">
        <v>540</v>
      </c>
      <c r="AB270" s="42" t="s">
        <v>540</v>
      </c>
      <c r="AC270" s="40"/>
      <c r="AD270" s="43">
        <v>-23.7</v>
      </c>
      <c r="AE270" s="39" t="s">
        <v>548</v>
      </c>
      <c r="AF270" s="39" t="s">
        <v>548</v>
      </c>
      <c r="AG270" s="43" t="s">
        <v>539</v>
      </c>
      <c r="AH270" s="43">
        <v>-111.529</v>
      </c>
      <c r="AI270" s="43">
        <v>-38.403999999999797</v>
      </c>
      <c r="AJ270" s="39" t="s">
        <v>547</v>
      </c>
      <c r="AK270" s="39" t="s">
        <v>547</v>
      </c>
      <c r="AL270" s="44"/>
      <c r="AM270" s="43">
        <v>-23.7</v>
      </c>
      <c r="AN270" s="39" t="s">
        <v>548</v>
      </c>
      <c r="AO270" s="39" t="s">
        <v>548</v>
      </c>
      <c r="AP270" s="43" t="s">
        <v>539</v>
      </c>
      <c r="AQ270" s="43">
        <v>-76.742000000000004</v>
      </c>
      <c r="AR270" s="43">
        <v>-28.434000000000001</v>
      </c>
      <c r="AS270" s="39" t="s">
        <v>547</v>
      </c>
      <c r="AT270" s="39" t="s">
        <v>547</v>
      </c>
      <c r="AU270" s="1">
        <v>12918.130392614999</v>
      </c>
    </row>
    <row r="271" spans="2:47" ht="18" customHeight="1" x14ac:dyDescent="0.25">
      <c r="B271" s="2">
        <f>IF(G271=$B$6,MAX(B$7:B270)+1,IF($B$6="Nifty 500 - All Sector",B270+1,0))</f>
        <v>0</v>
      </c>
      <c r="C271" s="36">
        <v>92996</v>
      </c>
      <c r="D271" s="36" t="s">
        <v>290</v>
      </c>
      <c r="E271" s="36" t="s">
        <v>527</v>
      </c>
      <c r="F271" s="36" t="s">
        <v>820</v>
      </c>
      <c r="G271" s="36" t="s">
        <v>810</v>
      </c>
      <c r="H271" s="36" t="s">
        <v>529</v>
      </c>
      <c r="I271" s="37" t="s">
        <v>540</v>
      </c>
      <c r="J271" s="38">
        <v>2101.38</v>
      </c>
      <c r="K271" s="39">
        <v>8.1980887259545998</v>
      </c>
      <c r="L271" s="39">
        <v>-10.318926923782733</v>
      </c>
      <c r="M271" s="38" t="s">
        <v>539</v>
      </c>
      <c r="N271" s="38">
        <v>1942.16</v>
      </c>
      <c r="O271" s="38">
        <v>2343.17</v>
      </c>
      <c r="P271" s="39" t="s">
        <v>540</v>
      </c>
      <c r="Q271" s="39" t="s">
        <v>540</v>
      </c>
      <c r="R271" s="40"/>
      <c r="S271" s="38">
        <v>356</v>
      </c>
      <c r="T271" s="39">
        <v>16.941248132179805</v>
      </c>
      <c r="U271" s="39">
        <v>104.60592702940713</v>
      </c>
      <c r="V271" s="38" t="s">
        <v>539</v>
      </c>
      <c r="W271" s="38">
        <v>308.70999999999998</v>
      </c>
      <c r="X271" s="38">
        <v>411.81</v>
      </c>
      <c r="Y271" s="39" t="s">
        <v>540</v>
      </c>
      <c r="Z271" s="39" t="s">
        <v>540</v>
      </c>
      <c r="AA271" s="41" t="s">
        <v>540</v>
      </c>
      <c r="AB271" s="42" t="s">
        <v>540</v>
      </c>
      <c r="AC271" s="40"/>
      <c r="AD271" s="43">
        <v>56.725000000000001</v>
      </c>
      <c r="AE271" s="39">
        <v>97.993019197206976</v>
      </c>
      <c r="AF271" s="39">
        <v>-17.80176785973071</v>
      </c>
      <c r="AG271" s="43" t="s">
        <v>539</v>
      </c>
      <c r="AH271" s="43">
        <v>28.650000000000102</v>
      </c>
      <c r="AI271" s="43">
        <v>69.010000000000204</v>
      </c>
      <c r="AJ271" s="39" t="s">
        <v>539</v>
      </c>
      <c r="AK271" s="39" t="s">
        <v>539</v>
      </c>
      <c r="AL271" s="44"/>
      <c r="AM271" s="43">
        <v>56.725000000000001</v>
      </c>
      <c r="AN271" s="39">
        <v>97.993019197207687</v>
      </c>
      <c r="AO271" s="39">
        <v>-17.801767859730479</v>
      </c>
      <c r="AP271" s="43" t="s">
        <v>539</v>
      </c>
      <c r="AQ271" s="43">
        <v>28.65</v>
      </c>
      <c r="AR271" s="43">
        <v>69.010000000000005</v>
      </c>
      <c r="AS271" s="39" t="s">
        <v>539</v>
      </c>
      <c r="AT271" s="39" t="s">
        <v>539</v>
      </c>
      <c r="AU271" s="1">
        <v>13085.212598929</v>
      </c>
    </row>
    <row r="272" spans="2:47" ht="18" customHeight="1" x14ac:dyDescent="0.25">
      <c r="B272" s="2">
        <f>IF(G272=$B$6,MAX(B$7:B271)+1,IF($B$6="Nifty 500 - All Sector",B271+1,0))</f>
        <v>0</v>
      </c>
      <c r="C272" s="36">
        <v>60</v>
      </c>
      <c r="D272" s="36" t="s">
        <v>291</v>
      </c>
      <c r="E272" s="36" t="s">
        <v>527</v>
      </c>
      <c r="F272" s="36" t="s">
        <v>821</v>
      </c>
      <c r="G272" s="36" t="s">
        <v>810</v>
      </c>
      <c r="H272" s="36" t="s">
        <v>529</v>
      </c>
      <c r="I272" s="37" t="s">
        <v>540</v>
      </c>
      <c r="J272" s="38">
        <v>832.72</v>
      </c>
      <c r="K272" s="39">
        <v>5.6464361201399527</v>
      </c>
      <c r="L272" s="39">
        <v>-11.851725608962182</v>
      </c>
      <c r="M272" s="38" t="s">
        <v>539</v>
      </c>
      <c r="N272" s="38">
        <v>788.21400000000006</v>
      </c>
      <c r="O272" s="38">
        <v>944.68100000000004</v>
      </c>
      <c r="P272" s="39" t="s">
        <v>540</v>
      </c>
      <c r="Q272" s="39" t="s">
        <v>540</v>
      </c>
      <c r="R272" s="40"/>
      <c r="S272" s="38">
        <v>173.25</v>
      </c>
      <c r="T272" s="39">
        <v>20.805312710154674</v>
      </c>
      <c r="U272" s="39">
        <v>-182.10298820855007</v>
      </c>
      <c r="V272" s="38" t="s">
        <v>539</v>
      </c>
      <c r="W272" s="38">
        <v>178.34399999999999</v>
      </c>
      <c r="X272" s="38">
        <v>212.04400000000001</v>
      </c>
      <c r="Y272" s="39" t="s">
        <v>540</v>
      </c>
      <c r="Z272" s="39" t="s">
        <v>540</v>
      </c>
      <c r="AA272" s="41" t="s">
        <v>540</v>
      </c>
      <c r="AB272" s="42" t="s">
        <v>540</v>
      </c>
      <c r="AC272" s="40"/>
      <c r="AD272" s="43">
        <v>50.875</v>
      </c>
      <c r="AE272" s="39">
        <v>10.802569966241983</v>
      </c>
      <c r="AF272" s="39">
        <v>-23.03561163051031</v>
      </c>
      <c r="AG272" s="43" t="s">
        <v>539</v>
      </c>
      <c r="AH272" s="43">
        <v>45.914999999999999</v>
      </c>
      <c r="AI272" s="43">
        <v>66.101999999999904</v>
      </c>
      <c r="AJ272" s="39" t="s">
        <v>539</v>
      </c>
      <c r="AK272" s="39" t="s">
        <v>539</v>
      </c>
      <c r="AL272" s="44"/>
      <c r="AM272" s="43">
        <v>50.875</v>
      </c>
      <c r="AN272" s="39">
        <v>10.802569966241983</v>
      </c>
      <c r="AO272" s="39">
        <v>-23.035611630510434</v>
      </c>
      <c r="AP272" s="43" t="s">
        <v>539</v>
      </c>
      <c r="AQ272" s="43">
        <v>45.914999999999999</v>
      </c>
      <c r="AR272" s="43">
        <v>66.102000000000004</v>
      </c>
      <c r="AS272" s="39" t="s">
        <v>539</v>
      </c>
      <c r="AT272" s="39" t="s">
        <v>539</v>
      </c>
      <c r="AU272" s="1">
        <v>9536.1008302999999</v>
      </c>
    </row>
    <row r="273" spans="2:47" ht="18" customHeight="1" x14ac:dyDescent="0.25">
      <c r="B273" s="2">
        <f>IF(G273=$B$6,MAX(B$7:B272)+1,IF($B$6="Nifty 500 - All Sector",B272+1,0))</f>
        <v>0</v>
      </c>
      <c r="C273" s="36">
        <v>65036</v>
      </c>
      <c r="D273" s="36" t="s">
        <v>292</v>
      </c>
      <c r="E273" s="36" t="s">
        <v>527</v>
      </c>
      <c r="F273" s="36" t="s">
        <v>822</v>
      </c>
      <c r="G273" s="36" t="s">
        <v>810</v>
      </c>
      <c r="H273" s="36" t="s">
        <v>529</v>
      </c>
      <c r="I273" s="37" t="s">
        <v>540</v>
      </c>
      <c r="J273" s="38">
        <v>204.7</v>
      </c>
      <c r="K273" s="39">
        <v>20.756987623441113</v>
      </c>
      <c r="L273" s="39">
        <v>-2.3713228280361709</v>
      </c>
      <c r="M273" s="38" t="s">
        <v>539</v>
      </c>
      <c r="N273" s="38">
        <v>169.51400000000001</v>
      </c>
      <c r="O273" s="38">
        <v>209.672</v>
      </c>
      <c r="P273" s="39" t="s">
        <v>540</v>
      </c>
      <c r="Q273" s="39" t="s">
        <v>540</v>
      </c>
      <c r="R273" s="40"/>
      <c r="S273" s="38">
        <v>73.900000000000006</v>
      </c>
      <c r="T273" s="39">
        <v>36.101612115290678</v>
      </c>
      <c r="U273" s="39">
        <v>886.78733090563856</v>
      </c>
      <c r="V273" s="38" t="s">
        <v>539</v>
      </c>
      <c r="W273" s="38">
        <v>46.164999999999999</v>
      </c>
      <c r="X273" s="38">
        <v>78.25</v>
      </c>
      <c r="Y273" s="39" t="s">
        <v>540</v>
      </c>
      <c r="Z273" s="39" t="s">
        <v>540</v>
      </c>
      <c r="AA273" s="41" t="s">
        <v>540</v>
      </c>
      <c r="AB273" s="42" t="s">
        <v>540</v>
      </c>
      <c r="AC273" s="40"/>
      <c r="AD273" s="43">
        <v>57.5</v>
      </c>
      <c r="AE273" s="39">
        <v>24.709913895937706</v>
      </c>
      <c r="AF273" s="39">
        <v>-6.5390179282544754</v>
      </c>
      <c r="AG273" s="43" t="s">
        <v>539</v>
      </c>
      <c r="AH273" s="43">
        <v>46.106999999999999</v>
      </c>
      <c r="AI273" s="43">
        <v>61.523000000000003</v>
      </c>
      <c r="AJ273" s="39" t="s">
        <v>539</v>
      </c>
      <c r="AK273" s="39" t="s">
        <v>539</v>
      </c>
      <c r="AL273" s="44"/>
      <c r="AM273" s="43">
        <v>57.5</v>
      </c>
      <c r="AN273" s="39">
        <v>37.490734320078431</v>
      </c>
      <c r="AO273" s="39">
        <v>2.9414397479277543</v>
      </c>
      <c r="AP273" s="43" t="s">
        <v>539</v>
      </c>
      <c r="AQ273" s="43">
        <v>41.820999999999998</v>
      </c>
      <c r="AR273" s="43">
        <v>55.856999999999999</v>
      </c>
      <c r="AS273" s="39" t="s">
        <v>539</v>
      </c>
      <c r="AT273" s="39" t="s">
        <v>539</v>
      </c>
      <c r="AU273" s="1">
        <v>8557.0713689000004</v>
      </c>
    </row>
    <row r="274" spans="2:47" ht="18" customHeight="1" x14ac:dyDescent="0.25">
      <c r="B274" s="2">
        <f>IF(G274=$B$6,MAX(B$7:B273)+1,IF($B$6="Nifty 500 - All Sector",B273+1,0))</f>
        <v>0</v>
      </c>
      <c r="C274" s="36">
        <v>40912</v>
      </c>
      <c r="D274" s="36" t="s">
        <v>293</v>
      </c>
      <c r="E274" s="36" t="s">
        <v>527</v>
      </c>
      <c r="F274" s="36" t="s">
        <v>823</v>
      </c>
      <c r="G274" s="36" t="s">
        <v>810</v>
      </c>
      <c r="H274" s="36" t="s">
        <v>529</v>
      </c>
      <c r="I274" s="37" t="s">
        <v>540</v>
      </c>
      <c r="J274" s="38">
        <v>1954.3200000000002</v>
      </c>
      <c r="K274" s="39">
        <v>13.657617419219781</v>
      </c>
      <c r="L274" s="39">
        <v>-17.666388615050167</v>
      </c>
      <c r="M274" s="38" t="s">
        <v>539</v>
      </c>
      <c r="N274" s="38">
        <v>1719.48</v>
      </c>
      <c r="O274" s="38">
        <v>2373.66</v>
      </c>
      <c r="P274" s="39" t="s">
        <v>540</v>
      </c>
      <c r="Q274" s="39" t="s">
        <v>540</v>
      </c>
      <c r="R274" s="40"/>
      <c r="S274" s="38">
        <v>159.94999999999999</v>
      </c>
      <c r="T274" s="39">
        <v>8.184432436857831</v>
      </c>
      <c r="U274" s="39">
        <v>-373.13793201849938</v>
      </c>
      <c r="V274" s="38" t="s">
        <v>539</v>
      </c>
      <c r="W274" s="38">
        <v>204.89</v>
      </c>
      <c r="X274" s="38">
        <v>308.72000000000003</v>
      </c>
      <c r="Y274" s="39" t="s">
        <v>540</v>
      </c>
      <c r="Z274" s="39" t="s">
        <v>540</v>
      </c>
      <c r="AA274" s="41" t="s">
        <v>540</v>
      </c>
      <c r="AB274" s="42" t="s">
        <v>540</v>
      </c>
      <c r="AC274" s="40"/>
      <c r="AD274" s="43">
        <v>-217.3</v>
      </c>
      <c r="AE274" s="39" t="s">
        <v>548</v>
      </c>
      <c r="AF274" s="39" t="s">
        <v>548</v>
      </c>
      <c r="AG274" s="43" t="s">
        <v>539</v>
      </c>
      <c r="AH274" s="43">
        <v>-155.52000000000001</v>
      </c>
      <c r="AI274" s="43">
        <v>-130.19999999999999</v>
      </c>
      <c r="AJ274" s="39" t="s">
        <v>547</v>
      </c>
      <c r="AK274" s="39" t="s">
        <v>547</v>
      </c>
      <c r="AL274" s="44"/>
      <c r="AM274" s="43">
        <v>-217.3</v>
      </c>
      <c r="AN274" s="39" t="s">
        <v>548</v>
      </c>
      <c r="AO274" s="39" t="s">
        <v>548</v>
      </c>
      <c r="AP274" s="43" t="s">
        <v>539</v>
      </c>
      <c r="AQ274" s="43">
        <v>-16.87</v>
      </c>
      <c r="AR274" s="43">
        <v>-152.22999999999999</v>
      </c>
      <c r="AS274" s="39" t="s">
        <v>547</v>
      </c>
      <c r="AT274" s="39" t="s">
        <v>547</v>
      </c>
      <c r="AU274" s="1">
        <v>7789.474741344</v>
      </c>
    </row>
    <row r="275" spans="2:47" ht="18" customHeight="1" x14ac:dyDescent="0.25">
      <c r="B275" s="2">
        <f>IF(G275=$B$6,MAX(B$7:B274)+1,IF($B$6="Nifty 500 - All Sector",B274+1,0))</f>
        <v>0</v>
      </c>
      <c r="C275" s="36">
        <v>12585</v>
      </c>
      <c r="D275" s="36" t="s">
        <v>294</v>
      </c>
      <c r="E275" s="36" t="s">
        <v>527</v>
      </c>
      <c r="F275" s="36" t="s">
        <v>824</v>
      </c>
      <c r="G275" s="36" t="s">
        <v>625</v>
      </c>
      <c r="H275" s="36" t="s">
        <v>535</v>
      </c>
      <c r="I275" s="37" t="s">
        <v>540</v>
      </c>
      <c r="J275" s="38">
        <v>3321.3764705882359</v>
      </c>
      <c r="K275" s="39">
        <v>21.662141779788868</v>
      </c>
      <c r="L275" s="39">
        <v>-6.0962264464733966</v>
      </c>
      <c r="M275" s="38" t="s">
        <v>539</v>
      </c>
      <c r="N275" s="38">
        <v>2730</v>
      </c>
      <c r="O275" s="38">
        <v>3537</v>
      </c>
      <c r="P275" s="39" t="s">
        <v>540</v>
      </c>
      <c r="Q275" s="39" t="s">
        <v>540</v>
      </c>
      <c r="R275" s="40"/>
      <c r="S275" s="38">
        <v>537.7421052631579</v>
      </c>
      <c r="T275" s="39">
        <v>16.190338855743157</v>
      </c>
      <c r="U275" s="39">
        <v>-58.62179208136169</v>
      </c>
      <c r="V275" s="38" t="s">
        <v>539</v>
      </c>
      <c r="W275" s="38">
        <v>458</v>
      </c>
      <c r="X275" s="38">
        <v>592</v>
      </c>
      <c r="Y275" s="39" t="s">
        <v>540</v>
      </c>
      <c r="Z275" s="39" t="s">
        <v>540</v>
      </c>
      <c r="AA275" s="41" t="s">
        <v>540</v>
      </c>
      <c r="AB275" s="42" t="s">
        <v>540</v>
      </c>
      <c r="AC275" s="40"/>
      <c r="AD275" s="43">
        <v>391.875</v>
      </c>
      <c r="AE275" s="39">
        <v>13.586956521739136</v>
      </c>
      <c r="AF275" s="39">
        <v>-14.809782608695654</v>
      </c>
      <c r="AG275" s="43" t="s">
        <v>539</v>
      </c>
      <c r="AH275" s="43">
        <v>345</v>
      </c>
      <c r="AI275" s="43">
        <v>460</v>
      </c>
      <c r="AJ275" s="39" t="s">
        <v>539</v>
      </c>
      <c r="AK275" s="39" t="s">
        <v>539</v>
      </c>
      <c r="AL275" s="44"/>
      <c r="AM275" s="43">
        <v>391.875</v>
      </c>
      <c r="AN275" s="39">
        <v>14.249271137026231</v>
      </c>
      <c r="AO275" s="39">
        <v>-12.332214765100669</v>
      </c>
      <c r="AP275" s="43" t="s">
        <v>539</v>
      </c>
      <c r="AQ275" s="43">
        <v>343</v>
      </c>
      <c r="AR275" s="43">
        <v>447</v>
      </c>
      <c r="AS275" s="39" t="s">
        <v>539</v>
      </c>
      <c r="AT275" s="39" t="s">
        <v>539</v>
      </c>
      <c r="AU275" s="1">
        <v>98042.698315874994</v>
      </c>
    </row>
    <row r="276" spans="2:47" ht="18" customHeight="1" x14ac:dyDescent="0.25">
      <c r="B276" s="2">
        <f>IF(G276=$B$6,MAX(B$7:B275)+1,IF($B$6="Nifty 500 - All Sector",B275+1,0))</f>
        <v>0</v>
      </c>
      <c r="C276" s="36">
        <v>118</v>
      </c>
      <c r="D276" s="36" t="s">
        <v>295</v>
      </c>
      <c r="E276" s="36" t="s">
        <v>533</v>
      </c>
      <c r="F276" s="36" t="s">
        <v>825</v>
      </c>
      <c r="G276" s="36" t="s">
        <v>625</v>
      </c>
      <c r="H276" s="36" t="s">
        <v>535</v>
      </c>
      <c r="I276" s="37" t="s">
        <v>540</v>
      </c>
      <c r="J276" s="38">
        <v>1527.9937500000001</v>
      </c>
      <c r="K276" s="39">
        <v>4.4774907521999863</v>
      </c>
      <c r="L276" s="39">
        <v>2.8169641955952729</v>
      </c>
      <c r="M276" s="38" t="s">
        <v>539</v>
      </c>
      <c r="N276" s="38">
        <v>1462.51</v>
      </c>
      <c r="O276" s="38">
        <v>1486.13</v>
      </c>
      <c r="P276" s="39" t="s">
        <v>540</v>
      </c>
      <c r="Q276" s="39" t="s">
        <v>540</v>
      </c>
      <c r="R276" s="40"/>
      <c r="S276" s="38">
        <v>500.25555555555559</v>
      </c>
      <c r="T276" s="39">
        <v>32.73937184334396</v>
      </c>
      <c r="U276" s="39">
        <v>-131.23611362596037</v>
      </c>
      <c r="V276" s="38" t="s">
        <v>539</v>
      </c>
      <c r="W276" s="38">
        <v>498.01</v>
      </c>
      <c r="X276" s="38">
        <v>442.03</v>
      </c>
      <c r="Y276" s="39" t="s">
        <v>540</v>
      </c>
      <c r="Z276" s="39" t="s">
        <v>540</v>
      </c>
      <c r="AA276" s="41" t="s">
        <v>540</v>
      </c>
      <c r="AB276" s="42" t="s">
        <v>540</v>
      </c>
      <c r="AC276" s="40"/>
      <c r="AD276" s="43">
        <v>360.2842</v>
      </c>
      <c r="AE276" s="39">
        <v>1.4885070422535174</v>
      </c>
      <c r="AF276" s="39">
        <v>11.246896807262384</v>
      </c>
      <c r="AG276" s="43" t="s">
        <v>539</v>
      </c>
      <c r="AH276" s="43">
        <v>355</v>
      </c>
      <c r="AI276" s="43">
        <v>323.86</v>
      </c>
      <c r="AJ276" s="39" t="s">
        <v>539</v>
      </c>
      <c r="AK276" s="39" t="s">
        <v>539</v>
      </c>
      <c r="AL276" s="44"/>
      <c r="AM276" s="43">
        <v>360.2842</v>
      </c>
      <c r="AN276" s="39">
        <v>1.4885070422535174</v>
      </c>
      <c r="AO276" s="39">
        <v>11.246896807262384</v>
      </c>
      <c r="AP276" s="43" t="s">
        <v>539</v>
      </c>
      <c r="AQ276" s="43">
        <v>355</v>
      </c>
      <c r="AR276" s="43">
        <v>323.86</v>
      </c>
      <c r="AS276" s="39" t="s">
        <v>539</v>
      </c>
      <c r="AT276" s="39" t="s">
        <v>539</v>
      </c>
      <c r="AU276" s="1">
        <v>52864.487752410001</v>
      </c>
    </row>
    <row r="277" spans="2:47" ht="18" customHeight="1" x14ac:dyDescent="0.25">
      <c r="B277" s="2">
        <f>IF(G277=$B$6,MAX(B$7:B276)+1,IF($B$6="Nifty 500 - All Sector",B276+1,0))</f>
        <v>0</v>
      </c>
      <c r="C277" s="36">
        <v>6423</v>
      </c>
      <c r="D277" s="36" t="s">
        <v>296</v>
      </c>
      <c r="E277" s="36" t="s">
        <v>527</v>
      </c>
      <c r="F277" s="36" t="s">
        <v>826</v>
      </c>
      <c r="G277" s="36" t="s">
        <v>625</v>
      </c>
      <c r="H277" s="36" t="s">
        <v>529</v>
      </c>
      <c r="I277" s="37" t="s">
        <v>540</v>
      </c>
      <c r="J277" s="38">
        <v>1011.9866666666667</v>
      </c>
      <c r="K277" s="39">
        <v>5.0814253327103209</v>
      </c>
      <c r="L277" s="39">
        <v>-12.13944429492132</v>
      </c>
      <c r="M277" s="38" t="s">
        <v>539</v>
      </c>
      <c r="N277" s="38">
        <v>963.05</v>
      </c>
      <c r="O277" s="38">
        <v>1151.81</v>
      </c>
      <c r="P277" s="39" t="s">
        <v>540</v>
      </c>
      <c r="Q277" s="39" t="s">
        <v>540</v>
      </c>
      <c r="R277" s="40"/>
      <c r="S277" s="38">
        <v>230.85714285714289</v>
      </c>
      <c r="T277" s="39">
        <v>22.812271194990338</v>
      </c>
      <c r="U277" s="39">
        <v>2.6330693458746168</v>
      </c>
      <c r="V277" s="38" t="s">
        <v>539</v>
      </c>
      <c r="W277" s="38">
        <v>219.44</v>
      </c>
      <c r="X277" s="38">
        <v>384.2</v>
      </c>
      <c r="Y277" s="39" t="s">
        <v>540</v>
      </c>
      <c r="Z277" s="39" t="s">
        <v>540</v>
      </c>
      <c r="AA277" s="41" t="s">
        <v>540</v>
      </c>
      <c r="AB277" s="42" t="s">
        <v>540</v>
      </c>
      <c r="AC277" s="40"/>
      <c r="AD277" s="43">
        <v>172.90770000000001</v>
      </c>
      <c r="AE277" s="39">
        <v>6.2347628409928912</v>
      </c>
      <c r="AF277" s="39">
        <v>-45.832618025751074</v>
      </c>
      <c r="AG277" s="43" t="s">
        <v>539</v>
      </c>
      <c r="AH277" s="43">
        <v>162.76</v>
      </c>
      <c r="AI277" s="43">
        <v>319.20999999999998</v>
      </c>
      <c r="AJ277" s="39" t="s">
        <v>539</v>
      </c>
      <c r="AK277" s="39" t="s">
        <v>539</v>
      </c>
      <c r="AL277" s="44"/>
      <c r="AM277" s="43">
        <v>172.90770000000001</v>
      </c>
      <c r="AN277" s="39">
        <v>6.6212616390207923</v>
      </c>
      <c r="AO277" s="39">
        <v>-45.878396143733568</v>
      </c>
      <c r="AP277" s="43" t="s">
        <v>539</v>
      </c>
      <c r="AQ277" s="43">
        <v>162.16999999999999</v>
      </c>
      <c r="AR277" s="43">
        <v>319.48</v>
      </c>
      <c r="AS277" s="39" t="s">
        <v>539</v>
      </c>
      <c r="AT277" s="39" t="s">
        <v>539</v>
      </c>
      <c r="AU277" s="1">
        <v>18529.424999999999</v>
      </c>
    </row>
    <row r="278" spans="2:47" ht="18" customHeight="1" x14ac:dyDescent="0.25">
      <c r="B278" s="2">
        <f>IF(G278=$B$6,MAX(B$7:B277)+1,IF($B$6="Nifty 500 - All Sector",B277+1,0))</f>
        <v>0</v>
      </c>
      <c r="C278" s="36">
        <v>27387</v>
      </c>
      <c r="D278" s="36" t="s">
        <v>297</v>
      </c>
      <c r="E278" s="36" t="s">
        <v>527</v>
      </c>
      <c r="F278" s="36" t="s">
        <v>827</v>
      </c>
      <c r="G278" s="36" t="s">
        <v>625</v>
      </c>
      <c r="H278" s="36" t="s">
        <v>529</v>
      </c>
      <c r="I278" s="37" t="s">
        <v>540</v>
      </c>
      <c r="J278" s="38">
        <v>2806.5</v>
      </c>
      <c r="K278" s="39">
        <v>25.94458438287155</v>
      </c>
      <c r="L278" s="39">
        <v>-9.6148335416368358E-2</v>
      </c>
      <c r="M278" s="38" t="s">
        <v>539</v>
      </c>
      <c r="N278" s="38">
        <v>2228.3609999999999</v>
      </c>
      <c r="O278" s="38">
        <v>2809.201</v>
      </c>
      <c r="P278" s="39" t="s">
        <v>540</v>
      </c>
      <c r="Q278" s="39" t="s">
        <v>540</v>
      </c>
      <c r="R278" s="40"/>
      <c r="S278" s="38">
        <v>302.60000000000002</v>
      </c>
      <c r="T278" s="39">
        <v>10.78211295207554</v>
      </c>
      <c r="U278" s="39">
        <v>-80.770575324195448</v>
      </c>
      <c r="V278" s="38" t="s">
        <v>539</v>
      </c>
      <c r="W278" s="38">
        <v>258.26299999999998</v>
      </c>
      <c r="X278" s="38">
        <v>314.33199999999999</v>
      </c>
      <c r="Y278" s="39" t="s">
        <v>540</v>
      </c>
      <c r="Z278" s="39" t="s">
        <v>540</v>
      </c>
      <c r="AA278" s="41" t="s">
        <v>540</v>
      </c>
      <c r="AB278" s="42" t="s">
        <v>540</v>
      </c>
      <c r="AC278" s="40"/>
      <c r="AD278" s="43">
        <v>160.30000000000001</v>
      </c>
      <c r="AE278" s="39">
        <v>3.2202396667074584</v>
      </c>
      <c r="AF278" s="39">
        <v>2.5965963275154769</v>
      </c>
      <c r="AG278" s="43" t="s">
        <v>539</v>
      </c>
      <c r="AH278" s="43">
        <v>155.29900000000001</v>
      </c>
      <c r="AI278" s="43">
        <v>156.24299999999999</v>
      </c>
      <c r="AJ278" s="39" t="s">
        <v>539</v>
      </c>
      <c r="AK278" s="39" t="s">
        <v>539</v>
      </c>
      <c r="AL278" s="44"/>
      <c r="AM278" s="43">
        <v>160.30000000000001</v>
      </c>
      <c r="AN278" s="39">
        <v>-0.13643244724923509</v>
      </c>
      <c r="AO278" s="39">
        <v>1.8735065331231926</v>
      </c>
      <c r="AP278" s="43" t="s">
        <v>539</v>
      </c>
      <c r="AQ278" s="43">
        <v>160.51900000000001</v>
      </c>
      <c r="AR278" s="43">
        <v>157.352</v>
      </c>
      <c r="AS278" s="39" t="s">
        <v>539</v>
      </c>
      <c r="AT278" s="39" t="s">
        <v>539</v>
      </c>
      <c r="AU278" s="1">
        <v>14308.55755752</v>
      </c>
    </row>
    <row r="279" spans="2:47" ht="18" customHeight="1" x14ac:dyDescent="0.25">
      <c r="B279" s="2">
        <f>IF(G279=$B$6,MAX(B$7:B278)+1,IF($B$6="Nifty 500 - All Sector",B278+1,0))</f>
        <v>0</v>
      </c>
      <c r="C279" s="36">
        <v>476</v>
      </c>
      <c r="D279" s="36" t="s">
        <v>298</v>
      </c>
      <c r="E279" s="36" t="s">
        <v>527</v>
      </c>
      <c r="F279" s="36" t="s">
        <v>828</v>
      </c>
      <c r="G279" s="36" t="s">
        <v>829</v>
      </c>
      <c r="H279" s="36" t="s">
        <v>532</v>
      </c>
      <c r="I279" s="37" t="s">
        <v>540</v>
      </c>
      <c r="J279" s="38">
        <v>281111.82500000001</v>
      </c>
      <c r="K279" s="39">
        <v>7.5458035563989112</v>
      </c>
      <c r="L279" s="39">
        <v>6.1179762556388129</v>
      </c>
      <c r="M279" s="38" t="s">
        <v>539</v>
      </c>
      <c r="N279" s="38">
        <v>261388</v>
      </c>
      <c r="O279" s="38">
        <v>264905</v>
      </c>
      <c r="P279" s="39" t="s">
        <v>540</v>
      </c>
      <c r="Q279" s="39" t="s">
        <v>540</v>
      </c>
      <c r="R279" s="40"/>
      <c r="S279" s="38">
        <v>47826.69</v>
      </c>
      <c r="T279" s="39">
        <v>17.013403829596992</v>
      </c>
      <c r="U279" s="39">
        <v>24.446263872365392</v>
      </c>
      <c r="V279" s="38" t="s">
        <v>539</v>
      </c>
      <c r="W279" s="38">
        <v>43832</v>
      </c>
      <c r="X279" s="38">
        <v>46018</v>
      </c>
      <c r="Y279" s="39" t="s">
        <v>540</v>
      </c>
      <c r="Z279" s="39" t="s">
        <v>540</v>
      </c>
      <c r="AA279" s="41" t="s">
        <v>540</v>
      </c>
      <c r="AB279" s="42" t="s">
        <v>540</v>
      </c>
      <c r="AC279" s="40"/>
      <c r="AD279" s="43">
        <v>16070.16</v>
      </c>
      <c r="AE279" s="39">
        <v>-28.366943032896497</v>
      </c>
      <c r="AF279" s="39">
        <v>-27.504127757477338</v>
      </c>
      <c r="AG279" s="43" t="s">
        <v>539</v>
      </c>
      <c r="AH279" s="43">
        <v>22434</v>
      </c>
      <c r="AI279" s="43">
        <v>22167</v>
      </c>
      <c r="AJ279" s="39" t="s">
        <v>539</v>
      </c>
      <c r="AK279" s="39" t="s">
        <v>539</v>
      </c>
      <c r="AL279" s="44"/>
      <c r="AM279" s="43">
        <v>16070.16</v>
      </c>
      <c r="AN279" s="39">
        <v>-17.194002164167564</v>
      </c>
      <c r="AO279" s="39">
        <v>-13.809814963797262</v>
      </c>
      <c r="AP279" s="43" t="s">
        <v>539</v>
      </c>
      <c r="AQ279" s="43">
        <v>19407</v>
      </c>
      <c r="AR279" s="43">
        <v>18645</v>
      </c>
      <c r="AS279" s="39" t="s">
        <v>539</v>
      </c>
      <c r="AT279" s="39" t="s">
        <v>539</v>
      </c>
      <c r="AU279" s="1">
        <v>1819102.63382545</v>
      </c>
    </row>
    <row r="280" spans="2:47" ht="18" customHeight="1" x14ac:dyDescent="0.25">
      <c r="B280" s="2">
        <f>IF(G280=$B$6,MAX(B$7:B279)+1,IF($B$6="Nifty 500 - All Sector",B279+1,0))</f>
        <v>0</v>
      </c>
      <c r="C280" s="36">
        <v>2337</v>
      </c>
      <c r="D280" s="36" t="s">
        <v>299</v>
      </c>
      <c r="E280" s="36" t="s">
        <v>527</v>
      </c>
      <c r="F280" s="36" t="s">
        <v>830</v>
      </c>
      <c r="G280" s="36" t="s">
        <v>829</v>
      </c>
      <c r="H280" s="36" t="s">
        <v>529</v>
      </c>
      <c r="I280" s="37" t="s">
        <v>540</v>
      </c>
      <c r="J280" s="38" t="s">
        <v>539</v>
      </c>
      <c r="K280" s="39" t="s">
        <v>540</v>
      </c>
      <c r="L280" s="39" t="s">
        <v>540</v>
      </c>
      <c r="M280" s="38" t="s">
        <v>539</v>
      </c>
      <c r="N280" s="38">
        <v>2876.76</v>
      </c>
      <c r="O280" s="38">
        <v>3811.22</v>
      </c>
      <c r="P280" s="39" t="s">
        <v>540</v>
      </c>
      <c r="Q280" s="39" t="s">
        <v>540</v>
      </c>
      <c r="R280" s="40"/>
      <c r="S280" s="38" t="s">
        <v>539</v>
      </c>
      <c r="T280" s="39" t="s">
        <v>540</v>
      </c>
      <c r="U280" s="39" t="s">
        <v>540</v>
      </c>
      <c r="V280" s="38" t="s">
        <v>539</v>
      </c>
      <c r="W280" s="38">
        <v>405.23</v>
      </c>
      <c r="X280" s="38">
        <v>531.65</v>
      </c>
      <c r="Y280" s="39" t="s">
        <v>540</v>
      </c>
      <c r="Z280" s="39" t="s">
        <v>540</v>
      </c>
      <c r="AA280" s="41" t="s">
        <v>540</v>
      </c>
      <c r="AB280" s="42" t="s">
        <v>540</v>
      </c>
      <c r="AC280" s="40"/>
      <c r="AD280" s="43" t="s">
        <v>540</v>
      </c>
      <c r="AE280" s="39" t="s">
        <v>539</v>
      </c>
      <c r="AF280" s="39" t="s">
        <v>539</v>
      </c>
      <c r="AG280" s="43" t="s">
        <v>539</v>
      </c>
      <c r="AH280" s="43">
        <v>178.91</v>
      </c>
      <c r="AI280" s="43">
        <v>212.64</v>
      </c>
      <c r="AJ280" s="39" t="s">
        <v>539</v>
      </c>
      <c r="AK280" s="39" t="s">
        <v>539</v>
      </c>
      <c r="AL280" s="44"/>
      <c r="AM280" s="43" t="s">
        <v>539</v>
      </c>
      <c r="AN280" s="39" t="s">
        <v>539</v>
      </c>
      <c r="AO280" s="39" t="s">
        <v>539</v>
      </c>
      <c r="AP280" s="43" t="s">
        <v>539</v>
      </c>
      <c r="AQ280" s="43">
        <v>178.91</v>
      </c>
      <c r="AR280" s="43">
        <v>212.11</v>
      </c>
      <c r="AS280" s="39" t="s">
        <v>539</v>
      </c>
      <c r="AT280" s="39" t="s">
        <v>539</v>
      </c>
      <c r="AU280" s="1">
        <v>18290.471897840001</v>
      </c>
    </row>
    <row r="281" spans="2:47" ht="18" customHeight="1" x14ac:dyDescent="0.25">
      <c r="B281" s="2">
        <f>IF(G281=$B$6,MAX(B$7:B280)+1,IF($B$6="Nifty 500 - All Sector",B280+1,0))</f>
        <v>0</v>
      </c>
      <c r="C281" s="36">
        <v>3780</v>
      </c>
      <c r="D281" s="36" t="s">
        <v>300</v>
      </c>
      <c r="E281" s="36" t="s">
        <v>527</v>
      </c>
      <c r="F281" s="36" t="s">
        <v>831</v>
      </c>
      <c r="G281" s="36" t="s">
        <v>829</v>
      </c>
      <c r="H281" s="36" t="s">
        <v>529</v>
      </c>
      <c r="I281" s="37" t="s">
        <v>540</v>
      </c>
      <c r="J281" s="38" t="s">
        <v>539</v>
      </c>
      <c r="K281" s="39" t="s">
        <v>540</v>
      </c>
      <c r="L281" s="39" t="s">
        <v>540</v>
      </c>
      <c r="M281" s="38" t="s">
        <v>539</v>
      </c>
      <c r="N281" s="38">
        <v>1018.204</v>
      </c>
      <c r="O281" s="38">
        <v>991.11500000000001</v>
      </c>
      <c r="P281" s="39" t="s">
        <v>540</v>
      </c>
      <c r="Q281" s="39" t="s">
        <v>540</v>
      </c>
      <c r="R281" s="40"/>
      <c r="S281" s="38" t="s">
        <v>539</v>
      </c>
      <c r="T281" s="39" t="s">
        <v>540</v>
      </c>
      <c r="U281" s="39" t="s">
        <v>540</v>
      </c>
      <c r="V281" s="38" t="s">
        <v>539</v>
      </c>
      <c r="W281" s="38">
        <v>381.64100000000002</v>
      </c>
      <c r="X281" s="38">
        <v>442.60700000000003</v>
      </c>
      <c r="Y281" s="39" t="s">
        <v>540</v>
      </c>
      <c r="Z281" s="39" t="s">
        <v>540</v>
      </c>
      <c r="AA281" s="41" t="s">
        <v>540</v>
      </c>
      <c r="AB281" s="42" t="s">
        <v>540</v>
      </c>
      <c r="AC281" s="40"/>
      <c r="AD281" s="43" t="s">
        <v>540</v>
      </c>
      <c r="AE281" s="39" t="s">
        <v>539</v>
      </c>
      <c r="AF281" s="39" t="s">
        <v>539</v>
      </c>
      <c r="AG281" s="43" t="s">
        <v>539</v>
      </c>
      <c r="AH281" s="43">
        <v>303.16399999999999</v>
      </c>
      <c r="AI281" s="43">
        <v>326.12099999999998</v>
      </c>
      <c r="AJ281" s="39" t="s">
        <v>539</v>
      </c>
      <c r="AK281" s="39" t="s">
        <v>539</v>
      </c>
      <c r="AL281" s="44"/>
      <c r="AM281" s="43" t="s">
        <v>539</v>
      </c>
      <c r="AN281" s="39" t="s">
        <v>539</v>
      </c>
      <c r="AO281" s="39" t="s">
        <v>539</v>
      </c>
      <c r="AP281" s="43" t="s">
        <v>539</v>
      </c>
      <c r="AQ281" s="43">
        <v>234.41</v>
      </c>
      <c r="AR281" s="43">
        <v>222.00800000000001</v>
      </c>
      <c r="AS281" s="39" t="s">
        <v>539</v>
      </c>
      <c r="AT281" s="39" t="s">
        <v>539</v>
      </c>
      <c r="AU281" s="1">
        <v>17623.904462899998</v>
      </c>
    </row>
    <row r="282" spans="2:47" ht="18" customHeight="1" x14ac:dyDescent="0.25">
      <c r="B282" s="2">
        <f>IF(G282=$B$6,MAX(B$7:B281)+1,IF($B$6="Nifty 500 - All Sector",B281+1,0))</f>
        <v>0</v>
      </c>
      <c r="C282" s="36">
        <v>12001</v>
      </c>
      <c r="D282" s="36" t="s">
        <v>301</v>
      </c>
      <c r="E282" s="36" t="s">
        <v>527</v>
      </c>
      <c r="F282" s="36" t="s">
        <v>832</v>
      </c>
      <c r="G282" s="36" t="s">
        <v>576</v>
      </c>
      <c r="H282" s="36" t="s">
        <v>532</v>
      </c>
      <c r="I282" s="37" t="s">
        <v>540</v>
      </c>
      <c r="J282" s="38">
        <v>53399.362500000003</v>
      </c>
      <c r="K282" s="39">
        <v>7.1551229388947757</v>
      </c>
      <c r="L282" s="39">
        <v>16.476323396228398</v>
      </c>
      <c r="M282" s="38" t="s">
        <v>539</v>
      </c>
      <c r="N282" s="38">
        <v>49833.7</v>
      </c>
      <c r="O282" s="38">
        <v>45845.68</v>
      </c>
      <c r="P282" s="39" t="s">
        <v>540</v>
      </c>
      <c r="Q282" s="39" t="s">
        <v>540</v>
      </c>
      <c r="R282" s="40"/>
      <c r="S282" s="38">
        <v>16285.042857142855</v>
      </c>
      <c r="T282" s="39">
        <v>30.496699014230465</v>
      </c>
      <c r="U282" s="39">
        <v>89.012755756559869</v>
      </c>
      <c r="V282" s="38" t="s">
        <v>539</v>
      </c>
      <c r="W282" s="38">
        <v>14754.05</v>
      </c>
      <c r="X282" s="38">
        <v>14569.58</v>
      </c>
      <c r="Y282" s="39" t="s">
        <v>540</v>
      </c>
      <c r="Z282" s="39" t="s">
        <v>540</v>
      </c>
      <c r="AA282" s="41" t="s">
        <v>540</v>
      </c>
      <c r="AB282" s="42" t="s">
        <v>540</v>
      </c>
      <c r="AC282" s="40"/>
      <c r="AD282" s="43">
        <v>6807.6</v>
      </c>
      <c r="AE282" s="39">
        <v>37.011059342074823</v>
      </c>
      <c r="AF282" s="39">
        <v>57.639163870537487</v>
      </c>
      <c r="AG282" s="43" t="s">
        <v>539</v>
      </c>
      <c r="AH282" s="43">
        <v>4968.6499999999996</v>
      </c>
      <c r="AI282" s="43">
        <v>4318.47</v>
      </c>
      <c r="AJ282" s="39" t="s">
        <v>539</v>
      </c>
      <c r="AK282" s="39" t="s">
        <v>539</v>
      </c>
      <c r="AL282" s="44"/>
      <c r="AM282" s="43">
        <v>6807.6</v>
      </c>
      <c r="AN282" s="39">
        <v>-10.558359894997116</v>
      </c>
      <c r="AO282" s="39">
        <v>24.030047352090776</v>
      </c>
      <c r="AP282" s="43" t="s">
        <v>539</v>
      </c>
      <c r="AQ282" s="43">
        <v>7611.22</v>
      </c>
      <c r="AR282" s="43">
        <v>5488.67</v>
      </c>
      <c r="AS282" s="39" t="s">
        <v>539</v>
      </c>
      <c r="AT282" s="39" t="s">
        <v>539</v>
      </c>
      <c r="AU282" s="1">
        <v>380739.59575151</v>
      </c>
    </row>
    <row r="283" spans="2:47" ht="18" customHeight="1" x14ac:dyDescent="0.25">
      <c r="B283" s="2">
        <f>IF(G283=$B$6,MAX(B$7:B282)+1,IF($B$6="Nifty 500 - All Sector",B282+1,0))</f>
        <v>0</v>
      </c>
      <c r="C283" s="36">
        <v>6068</v>
      </c>
      <c r="D283" s="36" t="s">
        <v>302</v>
      </c>
      <c r="E283" s="36" t="s">
        <v>527</v>
      </c>
      <c r="F283" s="36" t="s">
        <v>833</v>
      </c>
      <c r="G283" s="36" t="s">
        <v>576</v>
      </c>
      <c r="H283" s="36" t="s">
        <v>532</v>
      </c>
      <c r="I283" s="37" t="s">
        <v>540</v>
      </c>
      <c r="J283" s="38">
        <v>36186.949999999997</v>
      </c>
      <c r="K283" s="39">
        <v>-78.81471606194728</v>
      </c>
      <c r="L283" s="39">
        <v>-78.385905682095043</v>
      </c>
      <c r="M283" s="38" t="s">
        <v>539</v>
      </c>
      <c r="N283" s="38">
        <v>170811.73</v>
      </c>
      <c r="O283" s="38">
        <v>167422.93</v>
      </c>
      <c r="P283" s="39" t="s">
        <v>540</v>
      </c>
      <c r="Q283" s="39" t="s">
        <v>540</v>
      </c>
      <c r="R283" s="40"/>
      <c r="S283" s="38">
        <v>17585.25</v>
      </c>
      <c r="T283" s="39">
        <v>48.595557238175644</v>
      </c>
      <c r="U283" s="39">
        <v>3566.6363206828969</v>
      </c>
      <c r="V283" s="38" t="s">
        <v>539</v>
      </c>
      <c r="W283" s="38">
        <v>22084.58</v>
      </c>
      <c r="X283" s="38">
        <v>25335.34</v>
      </c>
      <c r="Y283" s="39" t="s">
        <v>540</v>
      </c>
      <c r="Z283" s="39" t="s">
        <v>540</v>
      </c>
      <c r="AA283" s="41" t="s">
        <v>540</v>
      </c>
      <c r="AB283" s="42" t="s">
        <v>540</v>
      </c>
      <c r="AC283" s="40"/>
      <c r="AD283" s="43">
        <v>8823.5856999999996</v>
      </c>
      <c r="AE283" s="39">
        <v>7.3805140973967731</v>
      </c>
      <c r="AF283" s="39">
        <v>-25.534208274327852</v>
      </c>
      <c r="AG283" s="43" t="s">
        <v>539</v>
      </c>
      <c r="AH283" s="43">
        <v>8217.1199999999899</v>
      </c>
      <c r="AI283" s="43">
        <v>11849.18</v>
      </c>
      <c r="AJ283" s="39" t="s">
        <v>539</v>
      </c>
      <c r="AK283" s="39" t="s">
        <v>539</v>
      </c>
      <c r="AL283" s="44"/>
      <c r="AM283" s="43">
        <v>8823.5856999999996</v>
      </c>
      <c r="AN283" s="39">
        <v>20.494368289811838</v>
      </c>
      <c r="AO283" s="39">
        <v>-11.903159813813813</v>
      </c>
      <c r="AP283" s="43" t="s">
        <v>539</v>
      </c>
      <c r="AQ283" s="43">
        <v>7322.82</v>
      </c>
      <c r="AR283" s="43">
        <v>10015.780000000001</v>
      </c>
      <c r="AS283" s="39" t="s">
        <v>539</v>
      </c>
      <c r="AT283" s="39" t="s">
        <v>539</v>
      </c>
      <c r="AU283" s="1">
        <v>361745.92856853001</v>
      </c>
    </row>
    <row r="284" spans="2:47" ht="18" customHeight="1" x14ac:dyDescent="0.25">
      <c r="B284" s="2">
        <f>IF(G284=$B$6,MAX(B$7:B283)+1,IF($B$6="Nifty 500 - All Sector",B283+1,0))</f>
        <v>0</v>
      </c>
      <c r="C284" s="36">
        <v>5455</v>
      </c>
      <c r="D284" s="36" t="s">
        <v>303</v>
      </c>
      <c r="E284" s="36" t="s">
        <v>527</v>
      </c>
      <c r="F284" s="36" t="s">
        <v>834</v>
      </c>
      <c r="G284" s="36" t="s">
        <v>576</v>
      </c>
      <c r="H284" s="36" t="s">
        <v>532</v>
      </c>
      <c r="I284" s="37" t="s">
        <v>540</v>
      </c>
      <c r="J284" s="38">
        <v>13053.733333333334</v>
      </c>
      <c r="K284" s="39">
        <v>6.3410276149627798</v>
      </c>
      <c r="L284" s="39">
        <v>5.313743856102171</v>
      </c>
      <c r="M284" s="38" t="s">
        <v>539</v>
      </c>
      <c r="N284" s="38">
        <v>12275.35</v>
      </c>
      <c r="O284" s="38">
        <v>12395.09</v>
      </c>
      <c r="P284" s="39" t="s">
        <v>540</v>
      </c>
      <c r="Q284" s="39" t="s">
        <v>540</v>
      </c>
      <c r="R284" s="40"/>
      <c r="S284" s="38">
        <v>11020.366666666667</v>
      </c>
      <c r="T284" s="39">
        <v>84.423102458555917</v>
      </c>
      <c r="U284" s="39">
        <v>113.74934942493979</v>
      </c>
      <c r="V284" s="38" t="s">
        <v>539</v>
      </c>
      <c r="W284" s="38">
        <v>10223.6</v>
      </c>
      <c r="X284" s="38">
        <v>10652.98</v>
      </c>
      <c r="Y284" s="39" t="s">
        <v>540</v>
      </c>
      <c r="Z284" s="39" t="s">
        <v>540</v>
      </c>
      <c r="AA284" s="41" t="s">
        <v>540</v>
      </c>
      <c r="AB284" s="42" t="s">
        <v>540</v>
      </c>
      <c r="AC284" s="40"/>
      <c r="AD284" s="43">
        <v>4157.1332999999995</v>
      </c>
      <c r="AE284" s="39">
        <v>0.85086825519276044</v>
      </c>
      <c r="AF284" s="39">
        <v>4.6462054695209032</v>
      </c>
      <c r="AG284" s="43" t="s">
        <v>539</v>
      </c>
      <c r="AH284" s="43">
        <v>4122.0600000000004</v>
      </c>
      <c r="AI284" s="43">
        <v>3972.56</v>
      </c>
      <c r="AJ284" s="39" t="s">
        <v>539</v>
      </c>
      <c r="AK284" s="39" t="s">
        <v>539</v>
      </c>
      <c r="AL284" s="44"/>
      <c r="AM284" s="43">
        <v>4157.1332999999995</v>
      </c>
      <c r="AN284" s="39">
        <v>0.3442854832519382</v>
      </c>
      <c r="AO284" s="39">
        <v>-0.66492152852118958</v>
      </c>
      <c r="AP284" s="43" t="s">
        <v>539</v>
      </c>
      <c r="AQ284" s="43">
        <v>4142.87</v>
      </c>
      <c r="AR284" s="43">
        <v>4184.96</v>
      </c>
      <c r="AS284" s="39" t="s">
        <v>539</v>
      </c>
      <c r="AT284" s="39" t="s">
        <v>539</v>
      </c>
      <c r="AU284" s="1">
        <v>290783.37840103498</v>
      </c>
    </row>
    <row r="285" spans="2:47" ht="18" customHeight="1" x14ac:dyDescent="0.25">
      <c r="B285" s="2">
        <f>IF(G285=$B$6,MAX(B$7:B284)+1,IF($B$6="Nifty 500 - All Sector",B284+1,0))</f>
        <v>0</v>
      </c>
      <c r="C285" s="36">
        <v>4244</v>
      </c>
      <c r="D285" s="36" t="s">
        <v>304</v>
      </c>
      <c r="E285" s="36" t="s">
        <v>527</v>
      </c>
      <c r="F285" s="36" t="s">
        <v>835</v>
      </c>
      <c r="G285" s="36" t="s">
        <v>576</v>
      </c>
      <c r="H285" s="36" t="s">
        <v>532</v>
      </c>
      <c r="I285" s="37" t="s">
        <v>540</v>
      </c>
      <c r="J285" s="38">
        <v>28784</v>
      </c>
      <c r="K285" s="39">
        <v>6.7423772132614967</v>
      </c>
      <c r="L285" s="39">
        <v>15.972906885246685</v>
      </c>
      <c r="M285" s="38" t="s">
        <v>539</v>
      </c>
      <c r="N285" s="38">
        <v>26965.86</v>
      </c>
      <c r="O285" s="38">
        <v>24819.59</v>
      </c>
      <c r="P285" s="39" t="s">
        <v>540</v>
      </c>
      <c r="Q285" s="39" t="s">
        <v>540</v>
      </c>
      <c r="R285" s="40"/>
      <c r="S285" s="38">
        <v>5375</v>
      </c>
      <c r="T285" s="39">
        <v>18.673568649249582</v>
      </c>
      <c r="U285" s="39">
        <v>491.53944245076298</v>
      </c>
      <c r="V285" s="38" t="s">
        <v>539</v>
      </c>
      <c r="W285" s="38">
        <v>3710.01</v>
      </c>
      <c r="X285" s="38">
        <v>3641.52</v>
      </c>
      <c r="Y285" s="39" t="s">
        <v>540</v>
      </c>
      <c r="Z285" s="39" t="s">
        <v>540</v>
      </c>
      <c r="AA285" s="41" t="s">
        <v>540</v>
      </c>
      <c r="AB285" s="42" t="s">
        <v>540</v>
      </c>
      <c r="AC285" s="40"/>
      <c r="AD285" s="43">
        <v>2052.9</v>
      </c>
      <c r="AE285" s="39">
        <v>-48.349779349975599</v>
      </c>
      <c r="AF285" s="39">
        <v>-62.855674691775732</v>
      </c>
      <c r="AG285" s="43" t="s">
        <v>539</v>
      </c>
      <c r="AH285" s="43">
        <v>3974.62</v>
      </c>
      <c r="AI285" s="43">
        <v>5526.82</v>
      </c>
      <c r="AJ285" s="39" t="s">
        <v>539</v>
      </c>
      <c r="AK285" s="39" t="s">
        <v>539</v>
      </c>
      <c r="AL285" s="44"/>
      <c r="AM285" s="43">
        <v>2052.9</v>
      </c>
      <c r="AN285" s="39">
        <v>-46.607332811431213</v>
      </c>
      <c r="AO285" s="39">
        <v>-63.517101414247691</v>
      </c>
      <c r="AP285" s="43" t="s">
        <v>539</v>
      </c>
      <c r="AQ285" s="43">
        <v>3844.91</v>
      </c>
      <c r="AR285" s="43">
        <v>5627.02</v>
      </c>
      <c r="AS285" s="39" t="s">
        <v>539</v>
      </c>
      <c r="AT285" s="39" t="s">
        <v>539</v>
      </c>
      <c r="AU285" s="1">
        <v>279239.28189728002</v>
      </c>
    </row>
    <row r="286" spans="2:47" ht="18" customHeight="1" x14ac:dyDescent="0.25">
      <c r="B286" s="2">
        <f>IF(G286=$B$6,MAX(B$7:B285)+1,IF($B$6="Nifty 500 - All Sector",B285+1,0))</f>
        <v>0</v>
      </c>
      <c r="C286" s="36">
        <v>12002</v>
      </c>
      <c r="D286" s="36" t="s">
        <v>305</v>
      </c>
      <c r="E286" s="36" t="s">
        <v>527</v>
      </c>
      <c r="F286" s="36" t="s">
        <v>836</v>
      </c>
      <c r="G286" s="36" t="s">
        <v>576</v>
      </c>
      <c r="H286" s="36" t="s">
        <v>532</v>
      </c>
      <c r="I286" s="37" t="s">
        <v>540</v>
      </c>
      <c r="J286" s="38">
        <v>226816.16666666666</v>
      </c>
      <c r="K286" s="39">
        <v>16.154980190108127</v>
      </c>
      <c r="L286" s="39">
        <v>10.557162370850559</v>
      </c>
      <c r="M286" s="38" t="s">
        <v>539</v>
      </c>
      <c r="N286" s="38">
        <v>195270.28999999998</v>
      </c>
      <c r="O286" s="38">
        <v>205157.37</v>
      </c>
      <c r="P286" s="39" t="s">
        <v>540</v>
      </c>
      <c r="Q286" s="39" t="s">
        <v>540</v>
      </c>
      <c r="R286" s="40"/>
      <c r="S286" s="38">
        <v>16554.325000000001</v>
      </c>
      <c r="T286" s="39">
        <v>7.2985648436288715</v>
      </c>
      <c r="U286" s="39">
        <v>-39.811548597989784</v>
      </c>
      <c r="V286" s="38" t="s">
        <v>539</v>
      </c>
      <c r="W286" s="38">
        <v>15029.33</v>
      </c>
      <c r="X286" s="38">
        <v>22745.39</v>
      </c>
      <c r="Y286" s="39" t="s">
        <v>540</v>
      </c>
      <c r="Z286" s="39" t="s">
        <v>540</v>
      </c>
      <c r="AA286" s="41" t="s">
        <v>540</v>
      </c>
      <c r="AB286" s="42" t="s">
        <v>540</v>
      </c>
      <c r="AC286" s="40"/>
      <c r="AD286" s="43">
        <v>9606.0499999999993</v>
      </c>
      <c r="AE286" s="39">
        <v>18.769017347901816</v>
      </c>
      <c r="AF286" s="39">
        <v>-26.309955315190926</v>
      </c>
      <c r="AG286" s="43" t="s">
        <v>539</v>
      </c>
      <c r="AH286" s="43">
        <v>8088.0099999999702</v>
      </c>
      <c r="AI286" s="43">
        <v>13035.75</v>
      </c>
      <c r="AJ286" s="39" t="s">
        <v>539</v>
      </c>
      <c r="AK286" s="39" t="s">
        <v>539</v>
      </c>
      <c r="AL286" s="44"/>
      <c r="AM286" s="43">
        <v>9606.0499999999993</v>
      </c>
      <c r="AN286" s="39">
        <v>18.248100605147432</v>
      </c>
      <c r="AO286" s="39">
        <v>-26.146620414364051</v>
      </c>
      <c r="AP286" s="43" t="s">
        <v>539</v>
      </c>
      <c r="AQ286" s="43">
        <v>8123.64</v>
      </c>
      <c r="AR286" s="43">
        <v>13006.92</v>
      </c>
      <c r="AS286" s="39" t="s">
        <v>539</v>
      </c>
      <c r="AT286" s="39" t="s">
        <v>539</v>
      </c>
      <c r="AU286" s="1">
        <v>205110.987513075</v>
      </c>
    </row>
    <row r="287" spans="2:47" ht="18" customHeight="1" x14ac:dyDescent="0.25">
      <c r="B287" s="2">
        <f>IF(G287=$B$6,MAX(B$7:B286)+1,IF($B$6="Nifty 500 - All Sector",B286+1,0))</f>
        <v>0</v>
      </c>
      <c r="C287" s="36">
        <v>554</v>
      </c>
      <c r="D287" s="36" t="s">
        <v>306</v>
      </c>
      <c r="E287" s="36" t="s">
        <v>527</v>
      </c>
      <c r="F287" s="36" t="s">
        <v>837</v>
      </c>
      <c r="G287" s="36" t="s">
        <v>576</v>
      </c>
      <c r="H287" s="36" t="s">
        <v>532</v>
      </c>
      <c r="I287" s="37" t="s">
        <v>540</v>
      </c>
      <c r="J287" s="38">
        <v>16227.957142857145</v>
      </c>
      <c r="K287" s="39">
        <v>-5.0767954451180985</v>
      </c>
      <c r="L287" s="39">
        <v>16.342702450366353</v>
      </c>
      <c r="M287" s="38" t="s">
        <v>539</v>
      </c>
      <c r="N287" s="38">
        <v>17095.88</v>
      </c>
      <c r="O287" s="38">
        <v>13948.41</v>
      </c>
      <c r="P287" s="39" t="s">
        <v>540</v>
      </c>
      <c r="Q287" s="39" t="s">
        <v>540</v>
      </c>
      <c r="R287" s="40"/>
      <c r="S287" s="38">
        <v>3224.92</v>
      </c>
      <c r="T287" s="39">
        <v>19.872618417774614</v>
      </c>
      <c r="U287" s="39">
        <v>-46.859829642787432</v>
      </c>
      <c r="V287" s="38" t="s">
        <v>539</v>
      </c>
      <c r="W287" s="38">
        <v>3477.51</v>
      </c>
      <c r="X287" s="38">
        <v>3591.83</v>
      </c>
      <c r="Y287" s="39" t="s">
        <v>540</v>
      </c>
      <c r="Z287" s="39" t="s">
        <v>540</v>
      </c>
      <c r="AA287" s="41" t="s">
        <v>540</v>
      </c>
      <c r="AB287" s="42" t="s">
        <v>540</v>
      </c>
      <c r="AC287" s="40"/>
      <c r="AD287" s="43">
        <v>803.86670000000004</v>
      </c>
      <c r="AE287" s="39">
        <v>-34.294554698227955</v>
      </c>
      <c r="AF287" s="39">
        <v>-19.261309308585339</v>
      </c>
      <c r="AG287" s="43" t="s">
        <v>539</v>
      </c>
      <c r="AH287" s="43">
        <v>1223.44</v>
      </c>
      <c r="AI287" s="43">
        <v>995.63999999999896</v>
      </c>
      <c r="AJ287" s="39" t="s">
        <v>539</v>
      </c>
      <c r="AK287" s="39" t="s">
        <v>539</v>
      </c>
      <c r="AL287" s="44"/>
      <c r="AM287" s="43">
        <v>803.86670000000004</v>
      </c>
      <c r="AN287" s="39">
        <v>-22.914885455922818</v>
      </c>
      <c r="AO287" s="39">
        <v>4.1305085623979831</v>
      </c>
      <c r="AP287" s="43" t="s">
        <v>539</v>
      </c>
      <c r="AQ287" s="43">
        <v>1042.83</v>
      </c>
      <c r="AR287" s="43">
        <v>771.98</v>
      </c>
      <c r="AS287" s="39" t="s">
        <v>539</v>
      </c>
      <c r="AT287" s="39" t="s">
        <v>539</v>
      </c>
      <c r="AU287" s="1">
        <v>134779.42209246001</v>
      </c>
    </row>
    <row r="288" spans="2:47" ht="18" customHeight="1" x14ac:dyDescent="0.25">
      <c r="B288" s="2">
        <f>IF(G288=$B$6,MAX(B$7:B287)+1,IF($B$6="Nifty 500 - All Sector",B287+1,0))</f>
        <v>0</v>
      </c>
      <c r="C288" s="36">
        <v>2290</v>
      </c>
      <c r="D288" s="36" t="s">
        <v>307</v>
      </c>
      <c r="E288" s="36" t="s">
        <v>533</v>
      </c>
      <c r="F288" s="36" t="s">
        <v>838</v>
      </c>
      <c r="G288" s="36" t="s">
        <v>576</v>
      </c>
      <c r="H288" s="36" t="s">
        <v>532</v>
      </c>
      <c r="I288" s="37" t="s">
        <v>540</v>
      </c>
      <c r="J288" s="38">
        <v>102674.95555555556</v>
      </c>
      <c r="K288" s="39">
        <v>-7.6489332553969174</v>
      </c>
      <c r="L288" s="39">
        <v>-13.718067956531566</v>
      </c>
      <c r="M288" s="38" t="s">
        <v>539</v>
      </c>
      <c r="N288" s="38">
        <v>111178.95999999999</v>
      </c>
      <c r="O288" s="38">
        <v>118999.37</v>
      </c>
      <c r="P288" s="39" t="s">
        <v>540</v>
      </c>
      <c r="Q288" s="39" t="s">
        <v>540</v>
      </c>
      <c r="R288" s="40"/>
      <c r="S288" s="38">
        <v>8624.2000000000007</v>
      </c>
      <c r="T288" s="39">
        <v>8.3995166623993356</v>
      </c>
      <c r="U288" s="39">
        <v>141.53804553328087</v>
      </c>
      <c r="V288" s="38" t="s">
        <v>539</v>
      </c>
      <c r="W288" s="38">
        <v>7764.8900000000103</v>
      </c>
      <c r="X288" s="38">
        <v>11676.81</v>
      </c>
      <c r="Y288" s="39" t="s">
        <v>540</v>
      </c>
      <c r="Z288" s="39" t="s">
        <v>540</v>
      </c>
      <c r="AA288" s="41" t="s">
        <v>540</v>
      </c>
      <c r="AB288" s="42" t="s">
        <v>540</v>
      </c>
      <c r="AC288" s="40"/>
      <c r="AD288" s="43">
        <v>5101.7</v>
      </c>
      <c r="AE288" s="39">
        <v>58.730701978183355</v>
      </c>
      <c r="AF288" s="39">
        <v>-32.385454728591554</v>
      </c>
      <c r="AG288" s="43" t="s">
        <v>539</v>
      </c>
      <c r="AH288" s="43">
        <v>3214.06</v>
      </c>
      <c r="AI288" s="43">
        <v>7545.27</v>
      </c>
      <c r="AJ288" s="39" t="s">
        <v>539</v>
      </c>
      <c r="AK288" s="39" t="s">
        <v>539</v>
      </c>
      <c r="AL288" s="44"/>
      <c r="AM288" s="43">
        <v>5101.7</v>
      </c>
      <c r="AN288" s="39">
        <v>58.730701978183355</v>
      </c>
      <c r="AO288" s="39">
        <v>-32.385454728591554</v>
      </c>
      <c r="AP288" s="43" t="s">
        <v>539</v>
      </c>
      <c r="AQ288" s="43">
        <v>3214.06</v>
      </c>
      <c r="AR288" s="43">
        <v>7545.27</v>
      </c>
      <c r="AS288" s="39" t="s">
        <v>539</v>
      </c>
      <c r="AT288" s="39" t="s">
        <v>539</v>
      </c>
      <c r="AU288" s="1">
        <v>134602.13276519999</v>
      </c>
    </row>
    <row r="289" spans="2:47" ht="18" customHeight="1" x14ac:dyDescent="0.25">
      <c r="B289" s="2">
        <f>IF(G289=$B$6,MAX(B$7:B288)+1,IF($B$6="Nifty 500 - All Sector",B288+1,0))</f>
        <v>0</v>
      </c>
      <c r="C289" s="36">
        <v>12350</v>
      </c>
      <c r="D289" s="36" t="s">
        <v>308</v>
      </c>
      <c r="E289" s="36" t="s">
        <v>533</v>
      </c>
      <c r="F289" s="36" t="s">
        <v>839</v>
      </c>
      <c r="G289" s="36" t="s">
        <v>576</v>
      </c>
      <c r="H289" s="36" t="s">
        <v>532</v>
      </c>
      <c r="I289" s="37" t="s">
        <v>540</v>
      </c>
      <c r="J289" s="38">
        <v>35374.958333333328</v>
      </c>
      <c r="K289" s="39">
        <v>-0.86941247274898714</v>
      </c>
      <c r="L289" s="39">
        <v>3.8866984146748829</v>
      </c>
      <c r="M289" s="38" t="s">
        <v>539</v>
      </c>
      <c r="N289" s="38">
        <v>35685.21</v>
      </c>
      <c r="O289" s="38">
        <v>34051.479999999996</v>
      </c>
      <c r="P289" s="39" t="s">
        <v>540</v>
      </c>
      <c r="Q289" s="39" t="s">
        <v>540</v>
      </c>
      <c r="R289" s="40"/>
      <c r="S289" s="38">
        <v>2721.2583333333332</v>
      </c>
      <c r="T289" s="39">
        <v>7.6926121232180495</v>
      </c>
      <c r="U289" s="39">
        <v>-132.05616818401236</v>
      </c>
      <c r="V289" s="38" t="s">
        <v>539</v>
      </c>
      <c r="W289" s="38">
        <v>3216.37</v>
      </c>
      <c r="X289" s="38">
        <v>2655.22</v>
      </c>
      <c r="Y289" s="39" t="s">
        <v>540</v>
      </c>
      <c r="Z289" s="39" t="s">
        <v>540</v>
      </c>
      <c r="AA289" s="41" t="s">
        <v>540</v>
      </c>
      <c r="AB289" s="42" t="s">
        <v>540</v>
      </c>
      <c r="AC289" s="40"/>
      <c r="AD289" s="43">
        <v>1566.5727000000002</v>
      </c>
      <c r="AE289" s="39">
        <v>-23.545643548410709</v>
      </c>
      <c r="AF289" s="39">
        <v>-2.2462232538984162</v>
      </c>
      <c r="AG289" s="43" t="s">
        <v>539</v>
      </c>
      <c r="AH289" s="43">
        <v>2049.0300000000002</v>
      </c>
      <c r="AI289" s="43">
        <v>1602.57</v>
      </c>
      <c r="AJ289" s="39" t="s">
        <v>539</v>
      </c>
      <c r="AK289" s="39" t="s">
        <v>539</v>
      </c>
      <c r="AL289" s="44"/>
      <c r="AM289" s="43">
        <v>1566.5727000000002</v>
      </c>
      <c r="AN289" s="39">
        <v>-23.545643548410709</v>
      </c>
      <c r="AO289" s="39">
        <v>-2.2462232538984162</v>
      </c>
      <c r="AP289" s="43" t="s">
        <v>539</v>
      </c>
      <c r="AQ289" s="43">
        <v>2049.0300000000002</v>
      </c>
      <c r="AR289" s="43">
        <v>1602.57</v>
      </c>
      <c r="AS289" s="39" t="s">
        <v>539</v>
      </c>
      <c r="AT289" s="39" t="s">
        <v>539</v>
      </c>
      <c r="AU289" s="1">
        <v>102670.18092544501</v>
      </c>
    </row>
    <row r="290" spans="2:47" ht="18" customHeight="1" x14ac:dyDescent="0.25">
      <c r="B290" s="2">
        <f>IF(G290=$B$6,MAX(B$7:B289)+1,IF($B$6="Nifty 500 - All Sector",B289+1,0))</f>
        <v>0</v>
      </c>
      <c r="C290" s="36">
        <v>39763</v>
      </c>
      <c r="D290" s="36" t="s">
        <v>309</v>
      </c>
      <c r="E290" s="36" t="s">
        <v>527</v>
      </c>
      <c r="F290" s="36" t="s">
        <v>840</v>
      </c>
      <c r="G290" s="36" t="s">
        <v>576</v>
      </c>
      <c r="H290" s="36" t="s">
        <v>535</v>
      </c>
      <c r="I290" s="37" t="s">
        <v>540</v>
      </c>
      <c r="J290" s="38">
        <v>7658.2</v>
      </c>
      <c r="K290" s="39">
        <v>91.267080093807834</v>
      </c>
      <c r="L290" s="39">
        <v>1.2313203481801205</v>
      </c>
      <c r="M290" s="38" t="s">
        <v>539</v>
      </c>
      <c r="N290" s="38">
        <v>4003.93</v>
      </c>
      <c r="O290" s="38">
        <v>7565.05</v>
      </c>
      <c r="P290" s="39" t="s">
        <v>540</v>
      </c>
      <c r="Q290" s="39" t="s">
        <v>540</v>
      </c>
      <c r="R290" s="40"/>
      <c r="S290" s="38">
        <v>1756.325</v>
      </c>
      <c r="T290" s="39">
        <v>22.933913974563215</v>
      </c>
      <c r="U290" s="39">
        <v>-10.794739663958097</v>
      </c>
      <c r="V290" s="38" t="s">
        <v>539</v>
      </c>
      <c r="W290" s="38">
        <v>922.58</v>
      </c>
      <c r="X290" s="38">
        <v>1928.16</v>
      </c>
      <c r="Y290" s="39" t="s">
        <v>540</v>
      </c>
      <c r="Z290" s="39" t="s">
        <v>540</v>
      </c>
      <c r="AA290" s="41" t="s">
        <v>540</v>
      </c>
      <c r="AB290" s="42" t="s">
        <v>540</v>
      </c>
      <c r="AC290" s="40"/>
      <c r="AD290" s="43">
        <v>1181.3399999999999</v>
      </c>
      <c r="AE290" s="39">
        <v>83.304110354244543</v>
      </c>
      <c r="AF290" s="39">
        <v>6.7356951183151326</v>
      </c>
      <c r="AG290" s="43" t="s">
        <v>539</v>
      </c>
      <c r="AH290" s="43">
        <v>644.47</v>
      </c>
      <c r="AI290" s="43">
        <v>1106.79</v>
      </c>
      <c r="AJ290" s="39" t="s">
        <v>539</v>
      </c>
      <c r="AK290" s="39" t="s">
        <v>539</v>
      </c>
      <c r="AL290" s="44"/>
      <c r="AM290" s="43">
        <v>1181.3399999999999</v>
      </c>
      <c r="AN290" s="39">
        <v>90.874278974325833</v>
      </c>
      <c r="AO290" s="39">
        <v>11.189127120079799</v>
      </c>
      <c r="AP290" s="43" t="s">
        <v>539</v>
      </c>
      <c r="AQ290" s="43">
        <v>618.91</v>
      </c>
      <c r="AR290" s="43">
        <v>1062.46</v>
      </c>
      <c r="AS290" s="39" t="s">
        <v>539</v>
      </c>
      <c r="AT290" s="39" t="s">
        <v>539</v>
      </c>
      <c r="AU290" s="1">
        <v>98511.952697450004</v>
      </c>
    </row>
    <row r="291" spans="2:47" ht="18" customHeight="1" x14ac:dyDescent="0.25">
      <c r="B291" s="2">
        <f>IF(G291=$B$6,MAX(B$7:B290)+1,IF($B$6="Nifty 500 - All Sector",B290+1,0))</f>
        <v>0</v>
      </c>
      <c r="C291" s="36">
        <v>27323</v>
      </c>
      <c r="D291" s="36" t="s">
        <v>310</v>
      </c>
      <c r="E291" s="36" t="s">
        <v>527</v>
      </c>
      <c r="F291" s="36" t="s">
        <v>841</v>
      </c>
      <c r="G291" s="36" t="s">
        <v>576</v>
      </c>
      <c r="H291" s="36" t="s">
        <v>535</v>
      </c>
      <c r="I291" s="37" t="s">
        <v>540</v>
      </c>
      <c r="J291" s="38">
        <v>4230.8333333333339</v>
      </c>
      <c r="K291" s="39">
        <v>32.653370498224874</v>
      </c>
      <c r="L291" s="39">
        <v>3.6521827185658662</v>
      </c>
      <c r="M291" s="38" t="s">
        <v>539</v>
      </c>
      <c r="N291" s="38">
        <v>3189.39</v>
      </c>
      <c r="O291" s="38">
        <v>4081.76</v>
      </c>
      <c r="P291" s="39" t="s">
        <v>540</v>
      </c>
      <c r="Q291" s="39" t="s">
        <v>540</v>
      </c>
      <c r="R291" s="40"/>
      <c r="S291" s="38">
        <v>2430.9</v>
      </c>
      <c r="T291" s="39">
        <v>57.45676580657868</v>
      </c>
      <c r="U291" s="39">
        <v>1969.1550514626301</v>
      </c>
      <c r="V291" s="38" t="s">
        <v>539</v>
      </c>
      <c r="W291" s="38">
        <v>1204.48</v>
      </c>
      <c r="X291" s="38">
        <v>2029.57</v>
      </c>
      <c r="Y291" s="39" t="s">
        <v>540</v>
      </c>
      <c r="Z291" s="39" t="s">
        <v>540</v>
      </c>
      <c r="AA291" s="41" t="s">
        <v>540</v>
      </c>
      <c r="AB291" s="42" t="s">
        <v>540</v>
      </c>
      <c r="AC291" s="40"/>
      <c r="AD291" s="43">
        <v>64.3</v>
      </c>
      <c r="AE291" s="39">
        <v>-84.284108129246718</v>
      </c>
      <c r="AF291" s="39">
        <v>-87.757278041164483</v>
      </c>
      <c r="AG291" s="43" t="s">
        <v>539</v>
      </c>
      <c r="AH291" s="43">
        <v>409.14</v>
      </c>
      <c r="AI291" s="43">
        <v>525.21</v>
      </c>
      <c r="AJ291" s="39" t="s">
        <v>539</v>
      </c>
      <c r="AK291" s="39" t="s">
        <v>539</v>
      </c>
      <c r="AL291" s="44"/>
      <c r="AM291" s="43">
        <v>64.3</v>
      </c>
      <c r="AN291" s="39">
        <v>-84.242127190295307</v>
      </c>
      <c r="AO291" s="39">
        <v>-84.688288803162365</v>
      </c>
      <c r="AP291" s="43" t="s">
        <v>539</v>
      </c>
      <c r="AQ291" s="43">
        <v>408.05</v>
      </c>
      <c r="AR291" s="43">
        <v>419.94</v>
      </c>
      <c r="AS291" s="39" t="s">
        <v>539</v>
      </c>
      <c r="AT291" s="39" t="s">
        <v>539</v>
      </c>
      <c r="AU291" s="1">
        <v>92828.963634500004</v>
      </c>
    </row>
    <row r="292" spans="2:47" ht="18" customHeight="1" x14ac:dyDescent="0.25">
      <c r="B292" s="2">
        <f>IF(G292=$B$6,MAX(B$7:B291)+1,IF($B$6="Nifty 500 - All Sector",B291+1,0))</f>
        <v>0</v>
      </c>
      <c r="C292" s="36">
        <v>94008</v>
      </c>
      <c r="D292" s="36" t="s">
        <v>311</v>
      </c>
      <c r="E292" s="36" t="s">
        <v>527</v>
      </c>
      <c r="F292" s="36" t="s">
        <v>842</v>
      </c>
      <c r="G292" s="36" t="s">
        <v>576</v>
      </c>
      <c r="H292" s="36" t="s">
        <v>535</v>
      </c>
      <c r="I292" s="37" t="s">
        <v>540</v>
      </c>
      <c r="J292" s="38">
        <v>756.75</v>
      </c>
      <c r="K292" s="39">
        <v>21.611197711604291</v>
      </c>
      <c r="L292" s="39">
        <v>15.836764683371873</v>
      </c>
      <c r="M292" s="38" t="s">
        <v>539</v>
      </c>
      <c r="N292" s="38">
        <v>622.27</v>
      </c>
      <c r="O292" s="38">
        <v>653.29</v>
      </c>
      <c r="P292" s="39" t="s">
        <v>540</v>
      </c>
      <c r="Q292" s="39" t="s">
        <v>540</v>
      </c>
      <c r="R292" s="40"/>
      <c r="S292" s="38">
        <v>855.15</v>
      </c>
      <c r="T292" s="39">
        <v>113.0029732408325</v>
      </c>
      <c r="U292" s="39">
        <v>2296.6493899067673</v>
      </c>
      <c r="V292" s="38" t="s">
        <v>539</v>
      </c>
      <c r="W292" s="38">
        <v>560.27</v>
      </c>
      <c r="X292" s="38">
        <v>567.41</v>
      </c>
      <c r="Y292" s="39" t="s">
        <v>540</v>
      </c>
      <c r="Z292" s="39" t="s">
        <v>540</v>
      </c>
      <c r="AA292" s="41" t="s">
        <v>540</v>
      </c>
      <c r="AB292" s="42" t="s">
        <v>540</v>
      </c>
      <c r="AC292" s="40"/>
      <c r="AD292" s="43">
        <v>145.69999999999999</v>
      </c>
      <c r="AE292" s="39">
        <v>-37.483909722818169</v>
      </c>
      <c r="AF292" s="39">
        <v>195.71747513700015</v>
      </c>
      <c r="AG292" s="43" t="s">
        <v>539</v>
      </c>
      <c r="AH292" s="43">
        <v>233.06</v>
      </c>
      <c r="AI292" s="43">
        <v>49.27</v>
      </c>
      <c r="AJ292" s="39" t="s">
        <v>539</v>
      </c>
      <c r="AK292" s="39" t="s">
        <v>539</v>
      </c>
      <c r="AL292" s="44"/>
      <c r="AM292" s="43">
        <v>145.69999999999999</v>
      </c>
      <c r="AN292" s="39">
        <v>-37.526798730812118</v>
      </c>
      <c r="AO292" s="39">
        <v>733.52402745995414</v>
      </c>
      <c r="AP292" s="43" t="s">
        <v>539</v>
      </c>
      <c r="AQ292" s="43">
        <v>233.22</v>
      </c>
      <c r="AR292" s="43">
        <v>17.48</v>
      </c>
      <c r="AS292" s="39" t="s">
        <v>539</v>
      </c>
      <c r="AT292" s="39" t="s">
        <v>539</v>
      </c>
      <c r="AU292" s="1">
        <v>90406.091018701001</v>
      </c>
    </row>
    <row r="293" spans="2:47" ht="18" customHeight="1" x14ac:dyDescent="0.25">
      <c r="B293" s="2">
        <f>IF(G293=$B$6,MAX(B$7:B292)+1,IF($B$6="Nifty 500 - All Sector",B292+1,0))</f>
        <v>0</v>
      </c>
      <c r="C293" s="36">
        <v>5452</v>
      </c>
      <c r="D293" s="36" t="s">
        <v>312</v>
      </c>
      <c r="E293" s="36" t="s">
        <v>533</v>
      </c>
      <c r="F293" s="36" t="s">
        <v>843</v>
      </c>
      <c r="G293" s="36" t="s">
        <v>576</v>
      </c>
      <c r="H293" s="36" t="s">
        <v>535</v>
      </c>
      <c r="I293" s="37" t="s">
        <v>540</v>
      </c>
      <c r="J293" s="38">
        <v>5794.61</v>
      </c>
      <c r="K293" s="39">
        <v>4.9965029009614303</v>
      </c>
      <c r="L293" s="39">
        <v>17.872217509728404</v>
      </c>
      <c r="M293" s="38" t="s">
        <v>539</v>
      </c>
      <c r="N293" s="38">
        <v>5518.86</v>
      </c>
      <c r="O293" s="38">
        <v>4916.01</v>
      </c>
      <c r="P293" s="39" t="s">
        <v>540</v>
      </c>
      <c r="Q293" s="39" t="s">
        <v>540</v>
      </c>
      <c r="R293" s="40"/>
      <c r="S293" s="38">
        <v>1909.2599999999998</v>
      </c>
      <c r="T293" s="39">
        <v>32.948895611611476</v>
      </c>
      <c r="U293" s="39">
        <v>-300.40004575042474</v>
      </c>
      <c r="V293" s="38" t="s">
        <v>539</v>
      </c>
      <c r="W293" s="38">
        <v>1984.19</v>
      </c>
      <c r="X293" s="38">
        <v>1308.3800000000001</v>
      </c>
      <c r="Y293" s="39" t="s">
        <v>540</v>
      </c>
      <c r="Z293" s="39" t="s">
        <v>540</v>
      </c>
      <c r="AA293" s="41" t="s">
        <v>540</v>
      </c>
      <c r="AB293" s="42" t="s">
        <v>540</v>
      </c>
      <c r="AC293" s="40"/>
      <c r="AD293" s="43">
        <v>1081.5833</v>
      </c>
      <c r="AE293" s="39">
        <v>-32.039152235654868</v>
      </c>
      <c r="AF293" s="39">
        <v>33.807982086080997</v>
      </c>
      <c r="AG293" s="43" t="s">
        <v>539</v>
      </c>
      <c r="AH293" s="43">
        <v>1591.48</v>
      </c>
      <c r="AI293" s="43">
        <v>808.30999999999904</v>
      </c>
      <c r="AJ293" s="39" t="s">
        <v>539</v>
      </c>
      <c r="AK293" s="39" t="s">
        <v>539</v>
      </c>
      <c r="AL293" s="44"/>
      <c r="AM293" s="43">
        <v>1081.5833</v>
      </c>
      <c r="AN293" s="39">
        <v>-32.039152235654868</v>
      </c>
      <c r="AO293" s="39">
        <v>33.807982086080997</v>
      </c>
      <c r="AP293" s="43" t="s">
        <v>539</v>
      </c>
      <c r="AQ293" s="43">
        <v>1591.48</v>
      </c>
      <c r="AR293" s="43">
        <v>808.30999999999904</v>
      </c>
      <c r="AS293" s="39" t="s">
        <v>539</v>
      </c>
      <c r="AT293" s="39" t="s">
        <v>539</v>
      </c>
      <c r="AU293" s="1">
        <v>75328.206801210006</v>
      </c>
    </row>
    <row r="294" spans="2:47" ht="18" customHeight="1" x14ac:dyDescent="0.25">
      <c r="B294" s="2">
        <f>IF(G294=$B$6,MAX(B$7:B293)+1,IF($B$6="Nifty 500 - All Sector",B293+1,0))</f>
        <v>0</v>
      </c>
      <c r="C294" s="36">
        <v>12584</v>
      </c>
      <c r="D294" s="36" t="s">
        <v>313</v>
      </c>
      <c r="E294" s="36" t="s">
        <v>527</v>
      </c>
      <c r="F294" s="36" t="s">
        <v>844</v>
      </c>
      <c r="G294" s="36" t="s">
        <v>576</v>
      </c>
      <c r="H294" s="36" t="s">
        <v>535</v>
      </c>
      <c r="I294" s="37" t="s">
        <v>540</v>
      </c>
      <c r="J294" s="38" t="s">
        <v>539</v>
      </c>
      <c r="K294" s="39" t="s">
        <v>540</v>
      </c>
      <c r="L294" s="39" t="s">
        <v>540</v>
      </c>
      <c r="M294" s="38" t="s">
        <v>539</v>
      </c>
      <c r="N294" s="38">
        <v>2346.9699999999998</v>
      </c>
      <c r="O294" s="38">
        <v>2220.73</v>
      </c>
      <c r="P294" s="39" t="s">
        <v>540</v>
      </c>
      <c r="Q294" s="39" t="s">
        <v>540</v>
      </c>
      <c r="R294" s="40"/>
      <c r="S294" s="38" t="s">
        <v>539</v>
      </c>
      <c r="T294" s="39" t="s">
        <v>540</v>
      </c>
      <c r="U294" s="39" t="s">
        <v>540</v>
      </c>
      <c r="V294" s="38" t="s">
        <v>539</v>
      </c>
      <c r="W294" s="38">
        <v>1090.19</v>
      </c>
      <c r="X294" s="38">
        <v>211.6</v>
      </c>
      <c r="Y294" s="39" t="s">
        <v>540</v>
      </c>
      <c r="Z294" s="39" t="s">
        <v>540</v>
      </c>
      <c r="AA294" s="41" t="s">
        <v>540</v>
      </c>
      <c r="AB294" s="42" t="s">
        <v>540</v>
      </c>
      <c r="AC294" s="40"/>
      <c r="AD294" s="43" t="s">
        <v>540</v>
      </c>
      <c r="AE294" s="39" t="s">
        <v>539</v>
      </c>
      <c r="AF294" s="39" t="s">
        <v>547</v>
      </c>
      <c r="AG294" s="43" t="s">
        <v>539</v>
      </c>
      <c r="AH294" s="43">
        <v>865.83</v>
      </c>
      <c r="AI294" s="43">
        <v>-856.44</v>
      </c>
      <c r="AJ294" s="39" t="s">
        <v>539</v>
      </c>
      <c r="AK294" s="39" t="s">
        <v>547</v>
      </c>
      <c r="AL294" s="44"/>
      <c r="AM294" s="43" t="s">
        <v>539</v>
      </c>
      <c r="AN294" s="39" t="s">
        <v>539</v>
      </c>
      <c r="AO294" s="39" t="s">
        <v>539</v>
      </c>
      <c r="AP294" s="43" t="s">
        <v>539</v>
      </c>
      <c r="AQ294" s="43">
        <v>853.64</v>
      </c>
      <c r="AR294" s="43">
        <v>219.12</v>
      </c>
      <c r="AS294" s="39" t="s">
        <v>539</v>
      </c>
      <c r="AT294" s="39" t="s">
        <v>539</v>
      </c>
      <c r="AU294" s="1">
        <v>80932.845423884995</v>
      </c>
    </row>
    <row r="295" spans="2:47" ht="18" customHeight="1" x14ac:dyDescent="0.25">
      <c r="B295" s="2">
        <f>IF(G295=$B$6,MAX(B$7:B294)+1,IF($B$6="Nifty 500 - All Sector",B294+1,0))</f>
        <v>0</v>
      </c>
      <c r="C295" s="36">
        <v>2305</v>
      </c>
      <c r="D295" s="36" t="s">
        <v>314</v>
      </c>
      <c r="E295" s="36" t="s">
        <v>533</v>
      </c>
      <c r="F295" s="36" t="s">
        <v>845</v>
      </c>
      <c r="G295" s="36" t="s">
        <v>576</v>
      </c>
      <c r="H295" s="36" t="s">
        <v>535</v>
      </c>
      <c r="I295" s="37" t="s">
        <v>540</v>
      </c>
      <c r="J295" s="38">
        <v>116184.86000000002</v>
      </c>
      <c r="K295" s="39">
        <v>6.1122889202234187</v>
      </c>
      <c r="L295" s="39">
        <v>0.9830880828078925</v>
      </c>
      <c r="M295" s="38" t="s">
        <v>539</v>
      </c>
      <c r="N295" s="38">
        <v>109492.37</v>
      </c>
      <c r="O295" s="38">
        <v>115053.78</v>
      </c>
      <c r="P295" s="39" t="s">
        <v>540</v>
      </c>
      <c r="Q295" s="39" t="s">
        <v>540</v>
      </c>
      <c r="R295" s="40"/>
      <c r="S295" s="38">
        <v>4370.8583333333336</v>
      </c>
      <c r="T295" s="39">
        <v>3.7619861428875785</v>
      </c>
      <c r="U295" s="39">
        <v>-153.86206482523068</v>
      </c>
      <c r="V295" s="38" t="s">
        <v>539</v>
      </c>
      <c r="W295" s="38">
        <v>5803.7600000000102</v>
      </c>
      <c r="X295" s="38">
        <v>7019.43</v>
      </c>
      <c r="Y295" s="39" t="s">
        <v>540</v>
      </c>
      <c r="Z295" s="39" t="s">
        <v>540</v>
      </c>
      <c r="AA295" s="41" t="s">
        <v>540</v>
      </c>
      <c r="AB295" s="42" t="s">
        <v>540</v>
      </c>
      <c r="AC295" s="40"/>
      <c r="AD295" s="43">
        <v>2329.6799999999998</v>
      </c>
      <c r="AE295" s="39">
        <v>-30.560539854186921</v>
      </c>
      <c r="AF295" s="39">
        <v>-42.794702994973456</v>
      </c>
      <c r="AG295" s="43" t="s">
        <v>539</v>
      </c>
      <c r="AH295" s="43">
        <v>3354.98</v>
      </c>
      <c r="AI295" s="43">
        <v>4072.4899999999898</v>
      </c>
      <c r="AJ295" s="39" t="s">
        <v>539</v>
      </c>
      <c r="AK295" s="39" t="s">
        <v>539</v>
      </c>
      <c r="AL295" s="44"/>
      <c r="AM295" s="43">
        <v>2329.6799999999998</v>
      </c>
      <c r="AN295" s="39">
        <v>-30.560539854186921</v>
      </c>
      <c r="AO295" s="39">
        <v>-42.794702994973456</v>
      </c>
      <c r="AP295" s="43" t="s">
        <v>539</v>
      </c>
      <c r="AQ295" s="43">
        <v>3354.98</v>
      </c>
      <c r="AR295" s="43">
        <v>4072.4899999999898</v>
      </c>
      <c r="AS295" s="39" t="s">
        <v>539</v>
      </c>
      <c r="AT295" s="39" t="s">
        <v>539</v>
      </c>
      <c r="AU295" s="1">
        <v>78016.612585805007</v>
      </c>
    </row>
    <row r="296" spans="2:47" ht="18" customHeight="1" x14ac:dyDescent="0.25">
      <c r="B296" s="2">
        <f>IF(G296=$B$6,MAX(B$7:B295)+1,IF($B$6="Nifty 500 - All Sector",B295+1,0))</f>
        <v>0</v>
      </c>
      <c r="C296" s="36">
        <v>18488</v>
      </c>
      <c r="D296" s="36" t="s">
        <v>315</v>
      </c>
      <c r="E296" s="36" t="s">
        <v>527</v>
      </c>
      <c r="F296" s="36" t="s">
        <v>846</v>
      </c>
      <c r="G296" s="36" t="s">
        <v>576</v>
      </c>
      <c r="H296" s="36" t="s">
        <v>535</v>
      </c>
      <c r="I296" s="37" t="s">
        <v>540</v>
      </c>
      <c r="J296" s="38">
        <v>8604.7000000000007</v>
      </c>
      <c r="K296" s="39">
        <v>33.275199261501108</v>
      </c>
      <c r="L296" s="39">
        <v>26.952862772522934</v>
      </c>
      <c r="M296" s="38" t="s">
        <v>539</v>
      </c>
      <c r="N296" s="38">
        <v>6456.34</v>
      </c>
      <c r="O296" s="38">
        <v>6777.87</v>
      </c>
      <c r="P296" s="39" t="s">
        <v>540</v>
      </c>
      <c r="Q296" s="39" t="s">
        <v>540</v>
      </c>
      <c r="R296" s="40"/>
      <c r="S296" s="38">
        <v>1187.7</v>
      </c>
      <c r="T296" s="39">
        <v>13.802921659093286</v>
      </c>
      <c r="U296" s="39">
        <v>-370.68439356554421</v>
      </c>
      <c r="V296" s="38" t="s">
        <v>539</v>
      </c>
      <c r="W296" s="38">
        <v>1130.49</v>
      </c>
      <c r="X296" s="38">
        <v>1403.14</v>
      </c>
      <c r="Y296" s="39" t="s">
        <v>540</v>
      </c>
      <c r="Z296" s="39" t="s">
        <v>540</v>
      </c>
      <c r="AA296" s="41" t="s">
        <v>540</v>
      </c>
      <c r="AB296" s="42" t="s">
        <v>540</v>
      </c>
      <c r="AC296" s="40"/>
      <c r="AD296" s="43">
        <v>442.5</v>
      </c>
      <c r="AE296" s="39">
        <v>-58.922040066096073</v>
      </c>
      <c r="AF296" s="39">
        <v>-32.415920823532893</v>
      </c>
      <c r="AG296" s="43" t="s">
        <v>539</v>
      </c>
      <c r="AH296" s="43">
        <v>1077.22</v>
      </c>
      <c r="AI296" s="43">
        <v>654.73999999999899</v>
      </c>
      <c r="AJ296" s="39" t="s">
        <v>539</v>
      </c>
      <c r="AK296" s="39" t="s">
        <v>539</v>
      </c>
      <c r="AL296" s="44"/>
      <c r="AM296" s="43">
        <v>442.5</v>
      </c>
      <c r="AN296" s="39">
        <v>-58.237775701463804</v>
      </c>
      <c r="AO296" s="39">
        <v>-31.190520619518569</v>
      </c>
      <c r="AP296" s="43" t="s">
        <v>539</v>
      </c>
      <c r="AQ296" s="43">
        <v>1059.57</v>
      </c>
      <c r="AR296" s="43">
        <v>643.08000000000004</v>
      </c>
      <c r="AS296" s="39" t="s">
        <v>539</v>
      </c>
      <c r="AT296" s="39" t="s">
        <v>539</v>
      </c>
      <c r="AU296" s="1">
        <v>75923.146823810006</v>
      </c>
    </row>
    <row r="297" spans="2:47" ht="18" customHeight="1" x14ac:dyDescent="0.25">
      <c r="B297" s="2">
        <f>IF(G297=$B$6,MAX(B$7:B296)+1,IF($B$6="Nifty 500 - All Sector",B296+1,0))</f>
        <v>0</v>
      </c>
      <c r="C297" s="36">
        <v>20099</v>
      </c>
      <c r="D297" s="36" t="s">
        <v>316</v>
      </c>
      <c r="E297" s="36" t="s">
        <v>533</v>
      </c>
      <c r="F297" s="36" t="s">
        <v>847</v>
      </c>
      <c r="G297" s="36" t="s">
        <v>576</v>
      </c>
      <c r="H297" s="36" t="s">
        <v>535</v>
      </c>
      <c r="I297" s="37" t="s">
        <v>540</v>
      </c>
      <c r="J297" s="38">
        <v>10542.18</v>
      </c>
      <c r="K297" s="39">
        <v>-14.400828207782713</v>
      </c>
      <c r="L297" s="39">
        <v>-5.5684294726809691</v>
      </c>
      <c r="M297" s="38" t="s">
        <v>539</v>
      </c>
      <c r="N297" s="38">
        <v>12315.75</v>
      </c>
      <c r="O297" s="38">
        <v>11163.83</v>
      </c>
      <c r="P297" s="39" t="s">
        <v>540</v>
      </c>
      <c r="Q297" s="39" t="s">
        <v>540</v>
      </c>
      <c r="R297" s="40"/>
      <c r="S297" s="38">
        <v>1335.1555555555556</v>
      </c>
      <c r="T297" s="39">
        <v>12.664890521273167</v>
      </c>
      <c r="U297" s="39">
        <v>38.045798569880063</v>
      </c>
      <c r="V297" s="38" t="s">
        <v>539</v>
      </c>
      <c r="W297" s="38">
        <v>1512.92</v>
      </c>
      <c r="X297" s="38">
        <v>1198.8399999999999</v>
      </c>
      <c r="Y297" s="39" t="s">
        <v>540</v>
      </c>
      <c r="Z297" s="39" t="s">
        <v>540</v>
      </c>
      <c r="AA297" s="41" t="s">
        <v>540</v>
      </c>
      <c r="AB297" s="42" t="s">
        <v>540</v>
      </c>
      <c r="AC297" s="40"/>
      <c r="AD297" s="43">
        <v>950.92499999999995</v>
      </c>
      <c r="AE297" s="39">
        <v>-11.143452503317208</v>
      </c>
      <c r="AF297" s="39">
        <v>12.099046316707597</v>
      </c>
      <c r="AG297" s="43" t="s">
        <v>539</v>
      </c>
      <c r="AH297" s="43">
        <v>1070.18</v>
      </c>
      <c r="AI297" s="43">
        <v>848.29000000000099</v>
      </c>
      <c r="AJ297" s="39" t="s">
        <v>539</v>
      </c>
      <c r="AK297" s="39" t="s">
        <v>539</v>
      </c>
      <c r="AL297" s="44"/>
      <c r="AM297" s="43">
        <v>950.92499999999995</v>
      </c>
      <c r="AN297" s="39">
        <v>-11.143452503317208</v>
      </c>
      <c r="AO297" s="39">
        <v>12.099046316707597</v>
      </c>
      <c r="AP297" s="43" t="s">
        <v>539</v>
      </c>
      <c r="AQ297" s="43">
        <v>1070.18</v>
      </c>
      <c r="AR297" s="43">
        <v>848.29000000000099</v>
      </c>
      <c r="AS297" s="39" t="s">
        <v>539</v>
      </c>
      <c r="AT297" s="39" t="s">
        <v>539</v>
      </c>
      <c r="AU297" s="1">
        <v>40642.502384359999</v>
      </c>
    </row>
    <row r="298" spans="2:47" ht="18" customHeight="1" x14ac:dyDescent="0.25">
      <c r="B298" s="2">
        <f>IF(G298=$B$6,MAX(B$7:B297)+1,IF($B$6="Nifty 500 - All Sector",B297+1,0))</f>
        <v>0</v>
      </c>
      <c r="C298" s="36">
        <v>2303</v>
      </c>
      <c r="D298" s="36" t="s">
        <v>317</v>
      </c>
      <c r="E298" s="36" t="s">
        <v>527</v>
      </c>
      <c r="F298" s="36" t="s">
        <v>848</v>
      </c>
      <c r="G298" s="36" t="s">
        <v>576</v>
      </c>
      <c r="H298" s="36" t="s">
        <v>535</v>
      </c>
      <c r="I298" s="37" t="s">
        <v>540</v>
      </c>
      <c r="J298" s="38" t="s">
        <v>539</v>
      </c>
      <c r="K298" s="39" t="s">
        <v>540</v>
      </c>
      <c r="L298" s="39" t="s">
        <v>540</v>
      </c>
      <c r="M298" s="38" t="s">
        <v>539</v>
      </c>
      <c r="N298" s="38">
        <v>3836</v>
      </c>
      <c r="O298" s="38">
        <v>4443.05</v>
      </c>
      <c r="P298" s="39" t="s">
        <v>540</v>
      </c>
      <c r="Q298" s="39" t="s">
        <v>540</v>
      </c>
      <c r="R298" s="40"/>
      <c r="S298" s="38" t="s">
        <v>539</v>
      </c>
      <c r="T298" s="39" t="s">
        <v>540</v>
      </c>
      <c r="U298" s="39" t="s">
        <v>540</v>
      </c>
      <c r="V298" s="38" t="s">
        <v>539</v>
      </c>
      <c r="W298" s="38">
        <v>1682</v>
      </c>
      <c r="X298" s="38">
        <v>1344.4</v>
      </c>
      <c r="Y298" s="39" t="s">
        <v>540</v>
      </c>
      <c r="Z298" s="39" t="s">
        <v>540</v>
      </c>
      <c r="AA298" s="41" t="s">
        <v>540</v>
      </c>
      <c r="AB298" s="42" t="s">
        <v>540</v>
      </c>
      <c r="AC298" s="40"/>
      <c r="AD298" s="43" t="s">
        <v>540</v>
      </c>
      <c r="AE298" s="39" t="s">
        <v>539</v>
      </c>
      <c r="AF298" s="39" t="s">
        <v>539</v>
      </c>
      <c r="AG298" s="43" t="s">
        <v>539</v>
      </c>
      <c r="AH298" s="43">
        <v>468.36</v>
      </c>
      <c r="AI298" s="43">
        <v>723.92</v>
      </c>
      <c r="AJ298" s="39" t="s">
        <v>539</v>
      </c>
      <c r="AK298" s="39" t="s">
        <v>539</v>
      </c>
      <c r="AL298" s="44"/>
      <c r="AM298" s="43" t="s">
        <v>539</v>
      </c>
      <c r="AN298" s="39" t="s">
        <v>539</v>
      </c>
      <c r="AO298" s="39" t="s">
        <v>539</v>
      </c>
      <c r="AP298" s="43" t="s">
        <v>539</v>
      </c>
      <c r="AQ298" s="43">
        <v>481.96</v>
      </c>
      <c r="AR298" s="43">
        <v>666.03</v>
      </c>
      <c r="AS298" s="39" t="s">
        <v>539</v>
      </c>
      <c r="AT298" s="39" t="s">
        <v>539</v>
      </c>
      <c r="AU298" s="1">
        <v>38153.306296634997</v>
      </c>
    </row>
    <row r="299" spans="2:47" ht="18" customHeight="1" x14ac:dyDescent="0.25">
      <c r="B299" s="2">
        <f>IF(G299=$B$6,MAX(B$7:B298)+1,IF($B$6="Nifty 500 - All Sector",B298+1,0))</f>
        <v>0</v>
      </c>
      <c r="C299" s="36">
        <v>2496</v>
      </c>
      <c r="D299" s="36" t="s">
        <v>318</v>
      </c>
      <c r="E299" s="36" t="s">
        <v>527</v>
      </c>
      <c r="F299" s="36" t="s">
        <v>849</v>
      </c>
      <c r="G299" s="36" t="s">
        <v>576</v>
      </c>
      <c r="H299" s="36" t="s">
        <v>529</v>
      </c>
      <c r="I299" s="37" t="s">
        <v>540</v>
      </c>
      <c r="J299" s="38" t="s">
        <v>539</v>
      </c>
      <c r="K299" s="39" t="s">
        <v>540</v>
      </c>
      <c r="L299" s="39" t="s">
        <v>540</v>
      </c>
      <c r="M299" s="38" t="s">
        <v>539</v>
      </c>
      <c r="N299" s="38">
        <v>24595.87</v>
      </c>
      <c r="O299" s="38">
        <v>24711.65</v>
      </c>
      <c r="P299" s="39" t="s">
        <v>540</v>
      </c>
      <c r="Q299" s="39" t="s">
        <v>540</v>
      </c>
      <c r="R299" s="40"/>
      <c r="S299" s="38" t="s">
        <v>539</v>
      </c>
      <c r="T299" s="39" t="s">
        <v>540</v>
      </c>
      <c r="U299" s="39" t="s">
        <v>540</v>
      </c>
      <c r="V299" s="38" t="s">
        <v>539</v>
      </c>
      <c r="W299" s="38">
        <v>1129.95</v>
      </c>
      <c r="X299" s="38">
        <v>2784.55</v>
      </c>
      <c r="Y299" s="39" t="s">
        <v>540</v>
      </c>
      <c r="Z299" s="39" t="s">
        <v>540</v>
      </c>
      <c r="AA299" s="41" t="s">
        <v>540</v>
      </c>
      <c r="AB299" s="42" t="s">
        <v>540</v>
      </c>
      <c r="AC299" s="40"/>
      <c r="AD299" s="43" t="s">
        <v>540</v>
      </c>
      <c r="AE299" s="39" t="s">
        <v>539</v>
      </c>
      <c r="AF299" s="39" t="s">
        <v>539</v>
      </c>
      <c r="AG299" s="43" t="s">
        <v>539</v>
      </c>
      <c r="AH299" s="43">
        <v>363.13999999999902</v>
      </c>
      <c r="AI299" s="43">
        <v>1445.16</v>
      </c>
      <c r="AJ299" s="39" t="s">
        <v>539</v>
      </c>
      <c r="AK299" s="39" t="s">
        <v>539</v>
      </c>
      <c r="AL299" s="44"/>
      <c r="AM299" s="43" t="s">
        <v>539</v>
      </c>
      <c r="AN299" s="39" t="s">
        <v>539</v>
      </c>
      <c r="AO299" s="39" t="s">
        <v>539</v>
      </c>
      <c r="AP299" s="43" t="s">
        <v>539</v>
      </c>
      <c r="AQ299" s="43">
        <v>370.63</v>
      </c>
      <c r="AR299" s="43">
        <v>1450.89</v>
      </c>
      <c r="AS299" s="39" t="s">
        <v>539</v>
      </c>
      <c r="AT299" s="39" t="s">
        <v>539</v>
      </c>
      <c r="AU299" s="1">
        <v>30810.686499660002</v>
      </c>
    </row>
    <row r="300" spans="2:47" ht="18" customHeight="1" x14ac:dyDescent="0.25">
      <c r="B300" s="2">
        <f>IF(G300=$B$6,MAX(B$7:B299)+1,IF($B$6="Nifty 500 - All Sector",B299+1,0))</f>
        <v>0</v>
      </c>
      <c r="C300" s="36">
        <v>12076</v>
      </c>
      <c r="D300" s="36" t="s">
        <v>319</v>
      </c>
      <c r="E300" s="36" t="s">
        <v>527</v>
      </c>
      <c r="F300" s="36" t="s">
        <v>850</v>
      </c>
      <c r="G300" s="36" t="s">
        <v>576</v>
      </c>
      <c r="H300" s="36" t="s">
        <v>535</v>
      </c>
      <c r="I300" s="37" t="s">
        <v>540</v>
      </c>
      <c r="J300" s="38">
        <v>976.9</v>
      </c>
      <c r="K300" s="39">
        <v>93.67565424266455</v>
      </c>
      <c r="L300" s="39">
        <v>-9.7109901383587438</v>
      </c>
      <c r="M300" s="38" t="s">
        <v>539</v>
      </c>
      <c r="N300" s="38">
        <v>504.4</v>
      </c>
      <c r="O300" s="38">
        <v>1081.97</v>
      </c>
      <c r="P300" s="39" t="s">
        <v>540</v>
      </c>
      <c r="Q300" s="39" t="s">
        <v>540</v>
      </c>
      <c r="R300" s="40"/>
      <c r="S300" s="38">
        <v>699.8</v>
      </c>
      <c r="T300" s="39">
        <v>71.634763025898252</v>
      </c>
      <c r="U300" s="39">
        <v>2387.9013620664309</v>
      </c>
      <c r="V300" s="38" t="s">
        <v>539</v>
      </c>
      <c r="W300" s="38">
        <v>240.88</v>
      </c>
      <c r="X300" s="38">
        <v>837.63</v>
      </c>
      <c r="Y300" s="39" t="s">
        <v>540</v>
      </c>
      <c r="Z300" s="39" t="s">
        <v>540</v>
      </c>
      <c r="AA300" s="41" t="s">
        <v>540</v>
      </c>
      <c r="AB300" s="42" t="s">
        <v>540</v>
      </c>
      <c r="AC300" s="40"/>
      <c r="AD300" s="43" t="s">
        <v>540</v>
      </c>
      <c r="AE300" s="39" t="s">
        <v>547</v>
      </c>
      <c r="AF300" s="39" t="s">
        <v>539</v>
      </c>
      <c r="AG300" s="43" t="s">
        <v>539</v>
      </c>
      <c r="AH300" s="43">
        <v>-135.33000000000001</v>
      </c>
      <c r="AI300" s="43">
        <v>286.72000000000003</v>
      </c>
      <c r="AJ300" s="39" t="s">
        <v>547</v>
      </c>
      <c r="AK300" s="39" t="s">
        <v>539</v>
      </c>
      <c r="AL300" s="44"/>
      <c r="AM300" s="43" t="s">
        <v>539</v>
      </c>
      <c r="AN300" s="39" t="s">
        <v>547</v>
      </c>
      <c r="AO300" s="39" t="s">
        <v>539</v>
      </c>
      <c r="AP300" s="43" t="s">
        <v>539</v>
      </c>
      <c r="AQ300" s="43">
        <v>-127.6</v>
      </c>
      <c r="AR300" s="43">
        <v>224.38</v>
      </c>
      <c r="AS300" s="39" t="s">
        <v>547</v>
      </c>
      <c r="AT300" s="39" t="s">
        <v>539</v>
      </c>
      <c r="AU300" s="1">
        <v>29579.568282224998</v>
      </c>
    </row>
    <row r="301" spans="2:47" ht="18" customHeight="1" x14ac:dyDescent="0.25">
      <c r="B301" s="2">
        <f>IF(G301=$B$6,MAX(B$7:B300)+1,IF($B$6="Nifty 500 - All Sector",B300+1,0))</f>
        <v>0</v>
      </c>
      <c r="C301" s="36">
        <v>9</v>
      </c>
      <c r="D301" s="36" t="s">
        <v>320</v>
      </c>
      <c r="E301" s="36" t="s">
        <v>527</v>
      </c>
      <c r="F301" s="36" t="s">
        <v>851</v>
      </c>
      <c r="G301" s="36" t="s">
        <v>576</v>
      </c>
      <c r="H301" s="36" t="s">
        <v>529</v>
      </c>
      <c r="I301" s="37" t="s">
        <v>540</v>
      </c>
      <c r="J301" s="38">
        <v>1963.15</v>
      </c>
      <c r="K301" s="39">
        <v>15.138061277154801</v>
      </c>
      <c r="L301" s="39">
        <v>13.77941346934044</v>
      </c>
      <c r="M301" s="38" t="s">
        <v>539</v>
      </c>
      <c r="N301" s="38">
        <v>1705.04</v>
      </c>
      <c r="O301" s="38">
        <v>1725.4</v>
      </c>
      <c r="P301" s="39" t="s">
        <v>540</v>
      </c>
      <c r="Q301" s="39" t="s">
        <v>540</v>
      </c>
      <c r="R301" s="40"/>
      <c r="S301" s="38">
        <v>414.55</v>
      </c>
      <c r="T301" s="39">
        <v>21.11657285485062</v>
      </c>
      <c r="U301" s="39">
        <v>-285.94042483258448</v>
      </c>
      <c r="V301" s="38" t="s">
        <v>539</v>
      </c>
      <c r="W301" s="38">
        <v>408.8</v>
      </c>
      <c r="X301" s="38">
        <v>297.10000000000002</v>
      </c>
      <c r="Y301" s="39" t="s">
        <v>540</v>
      </c>
      <c r="Z301" s="39" t="s">
        <v>540</v>
      </c>
      <c r="AA301" s="41" t="s">
        <v>540</v>
      </c>
      <c r="AB301" s="42" t="s">
        <v>540</v>
      </c>
      <c r="AC301" s="40"/>
      <c r="AD301" s="43">
        <v>228.33330000000001</v>
      </c>
      <c r="AE301" s="39">
        <v>-28.154148705201219</v>
      </c>
      <c r="AF301" s="39">
        <v>-1.847010273825378</v>
      </c>
      <c r="AG301" s="43" t="s">
        <v>539</v>
      </c>
      <c r="AH301" s="43">
        <v>317.81</v>
      </c>
      <c r="AI301" s="43">
        <v>232.63</v>
      </c>
      <c r="AJ301" s="39" t="s">
        <v>539</v>
      </c>
      <c r="AK301" s="39" t="s">
        <v>539</v>
      </c>
      <c r="AL301" s="44"/>
      <c r="AM301" s="43">
        <v>228.33330000000001</v>
      </c>
      <c r="AN301" s="39">
        <v>-18.935882415592719</v>
      </c>
      <c r="AO301" s="39">
        <v>29.125883617033299</v>
      </c>
      <c r="AP301" s="43" t="s">
        <v>539</v>
      </c>
      <c r="AQ301" s="43">
        <v>281.67</v>
      </c>
      <c r="AR301" s="43">
        <v>176.83</v>
      </c>
      <c r="AS301" s="39" t="s">
        <v>539</v>
      </c>
      <c r="AT301" s="39" t="s">
        <v>539</v>
      </c>
      <c r="AU301" s="1">
        <v>23144.94</v>
      </c>
    </row>
    <row r="302" spans="2:47" ht="18" customHeight="1" x14ac:dyDescent="0.25">
      <c r="B302" s="2">
        <f>IF(G302=$B$6,MAX(B$7:B301)+1,IF($B$6="Nifty 500 - All Sector",B301+1,0))</f>
        <v>0</v>
      </c>
      <c r="C302" s="36">
        <v>20703</v>
      </c>
      <c r="D302" s="36" t="s">
        <v>321</v>
      </c>
      <c r="E302" s="36" t="s">
        <v>533</v>
      </c>
      <c r="F302" s="36" t="s">
        <v>852</v>
      </c>
      <c r="G302" s="36" t="s">
        <v>576</v>
      </c>
      <c r="H302" s="36" t="s">
        <v>529</v>
      </c>
      <c r="I302" s="37" t="s">
        <v>540</v>
      </c>
      <c r="J302" s="38">
        <v>4028.8</v>
      </c>
      <c r="K302" s="39">
        <v>1.9802205757650126</v>
      </c>
      <c r="L302" s="39">
        <v>-0.94389492499735717</v>
      </c>
      <c r="M302" s="38" t="s">
        <v>539</v>
      </c>
      <c r="N302" s="38">
        <v>3950.57</v>
      </c>
      <c r="O302" s="38">
        <v>4067.19</v>
      </c>
      <c r="P302" s="39" t="s">
        <v>540</v>
      </c>
      <c r="Q302" s="39" t="s">
        <v>540</v>
      </c>
      <c r="R302" s="40"/>
      <c r="S302" s="38">
        <v>433.70833333333331</v>
      </c>
      <c r="T302" s="39">
        <v>10.765198901244373</v>
      </c>
      <c r="U302" s="39">
        <v>-182.10861158544242</v>
      </c>
      <c r="V302" s="38" t="s">
        <v>539</v>
      </c>
      <c r="W302" s="38">
        <v>497.23</v>
      </c>
      <c r="X302" s="38">
        <v>472.52</v>
      </c>
      <c r="Y302" s="39" t="s">
        <v>540</v>
      </c>
      <c r="Z302" s="39" t="s">
        <v>540</v>
      </c>
      <c r="AA302" s="41" t="s">
        <v>540</v>
      </c>
      <c r="AB302" s="42" t="s">
        <v>540</v>
      </c>
      <c r="AC302" s="40"/>
      <c r="AD302" s="43">
        <v>318.24169999999998</v>
      </c>
      <c r="AE302" s="39">
        <v>-8.8733213068751375</v>
      </c>
      <c r="AF302" s="39">
        <v>-11.246981063669582</v>
      </c>
      <c r="AG302" s="43" t="s">
        <v>539</v>
      </c>
      <c r="AH302" s="43">
        <v>349.23</v>
      </c>
      <c r="AI302" s="43">
        <v>358.57</v>
      </c>
      <c r="AJ302" s="39" t="s">
        <v>539</v>
      </c>
      <c r="AK302" s="39" t="s">
        <v>539</v>
      </c>
      <c r="AL302" s="44"/>
      <c r="AM302" s="43">
        <v>318.24169999999998</v>
      </c>
      <c r="AN302" s="39">
        <v>-8.8733213068751375</v>
      </c>
      <c r="AO302" s="39">
        <v>-11.246981063669582</v>
      </c>
      <c r="AP302" s="43" t="s">
        <v>539</v>
      </c>
      <c r="AQ302" s="43">
        <v>349.23</v>
      </c>
      <c r="AR302" s="43">
        <v>358.57</v>
      </c>
      <c r="AS302" s="39" t="s">
        <v>539</v>
      </c>
      <c r="AT302" s="39" t="s">
        <v>539</v>
      </c>
      <c r="AU302" s="1">
        <v>23233.026551999999</v>
      </c>
    </row>
    <row r="303" spans="2:47" ht="18" customHeight="1" x14ac:dyDescent="0.25">
      <c r="B303" s="2">
        <f>IF(G303=$B$6,MAX(B$7:B302)+1,IF($B$6="Nifty 500 - All Sector",B302+1,0))</f>
        <v>0</v>
      </c>
      <c r="C303" s="36">
        <v>99</v>
      </c>
      <c r="D303" s="36" t="s">
        <v>322</v>
      </c>
      <c r="E303" s="36" t="s">
        <v>527</v>
      </c>
      <c r="F303" s="36" t="s">
        <v>853</v>
      </c>
      <c r="G303" s="36" t="s">
        <v>576</v>
      </c>
      <c r="H303" s="36" t="s">
        <v>529</v>
      </c>
      <c r="I303" s="37" t="s">
        <v>540</v>
      </c>
      <c r="J303" s="38">
        <v>4369.9666666666662</v>
      </c>
      <c r="K303" s="39">
        <v>12.715157768033691</v>
      </c>
      <c r="L303" s="39">
        <v>9.1127756970453397</v>
      </c>
      <c r="M303" s="38" t="s">
        <v>539</v>
      </c>
      <c r="N303" s="38">
        <v>3877</v>
      </c>
      <c r="O303" s="38">
        <v>4005</v>
      </c>
      <c r="P303" s="39" t="s">
        <v>540</v>
      </c>
      <c r="Q303" s="39" t="s">
        <v>540</v>
      </c>
      <c r="R303" s="40"/>
      <c r="S303" s="38">
        <v>1134.9000000000001</v>
      </c>
      <c r="T303" s="39">
        <v>25.970449812736945</v>
      </c>
      <c r="U303" s="39">
        <v>141.53814609185281</v>
      </c>
      <c r="V303" s="38" t="s">
        <v>539</v>
      </c>
      <c r="W303" s="38">
        <v>952</v>
      </c>
      <c r="X303" s="38">
        <v>942</v>
      </c>
      <c r="Y303" s="39" t="s">
        <v>540</v>
      </c>
      <c r="Z303" s="39" t="s">
        <v>540</v>
      </c>
      <c r="AA303" s="41" t="s">
        <v>540</v>
      </c>
      <c r="AB303" s="42" t="s">
        <v>540</v>
      </c>
      <c r="AC303" s="40"/>
      <c r="AD303" s="43">
        <v>435.7</v>
      </c>
      <c r="AE303" s="39">
        <v>13.168831168831163</v>
      </c>
      <c r="AF303" s="39">
        <v>43.322368421052637</v>
      </c>
      <c r="AG303" s="43" t="s">
        <v>539</v>
      </c>
      <c r="AH303" s="43">
        <v>385</v>
      </c>
      <c r="AI303" s="43">
        <v>304</v>
      </c>
      <c r="AJ303" s="39" t="s">
        <v>539</v>
      </c>
      <c r="AK303" s="39" t="s">
        <v>539</v>
      </c>
      <c r="AL303" s="44"/>
      <c r="AM303" s="43">
        <v>435.7</v>
      </c>
      <c r="AN303" s="39">
        <v>16.809651474530817</v>
      </c>
      <c r="AO303" s="39">
        <v>52.877192982456144</v>
      </c>
      <c r="AP303" s="43" t="s">
        <v>539</v>
      </c>
      <c r="AQ303" s="43">
        <v>373</v>
      </c>
      <c r="AR303" s="43">
        <v>285</v>
      </c>
      <c r="AS303" s="39" t="s">
        <v>539</v>
      </c>
      <c r="AT303" s="39" t="s">
        <v>539</v>
      </c>
      <c r="AU303" s="1">
        <v>21653.192974050002</v>
      </c>
    </row>
    <row r="304" spans="2:47" ht="18" customHeight="1" x14ac:dyDescent="0.25">
      <c r="B304" s="2">
        <f>IF(G304=$B$6,MAX(B$7:B303)+1,IF($B$6="Nifty 500 - All Sector",B303+1,0))</f>
        <v>0</v>
      </c>
      <c r="C304" s="36">
        <v>24065</v>
      </c>
      <c r="D304" s="36" t="s">
        <v>323</v>
      </c>
      <c r="E304" s="36" t="s">
        <v>533</v>
      </c>
      <c r="F304" s="36" t="s">
        <v>854</v>
      </c>
      <c r="G304" s="36" t="s">
        <v>576</v>
      </c>
      <c r="H304" s="36" t="s">
        <v>529</v>
      </c>
      <c r="I304" s="37" t="s">
        <v>540</v>
      </c>
      <c r="J304" s="38">
        <v>223.16666666666666</v>
      </c>
      <c r="K304" s="39">
        <v>-6.2600635667380722</v>
      </c>
      <c r="L304" s="39">
        <v>-18.012811799297324</v>
      </c>
      <c r="M304" s="38" t="s">
        <v>539</v>
      </c>
      <c r="N304" s="38">
        <v>238.07</v>
      </c>
      <c r="O304" s="38">
        <v>272.197</v>
      </c>
      <c r="P304" s="39" t="s">
        <v>540</v>
      </c>
      <c r="Q304" s="39" t="s">
        <v>540</v>
      </c>
      <c r="R304" s="40"/>
      <c r="S304" s="38">
        <v>124.7</v>
      </c>
      <c r="T304" s="39">
        <v>55.877520537714723</v>
      </c>
      <c r="U304" s="39">
        <v>348.87273256342507</v>
      </c>
      <c r="V304" s="38" t="s">
        <v>539</v>
      </c>
      <c r="W304" s="38">
        <v>124.72199999999999</v>
      </c>
      <c r="X304" s="38">
        <v>165.57499999999999</v>
      </c>
      <c r="Y304" s="39" t="s">
        <v>540</v>
      </c>
      <c r="Z304" s="39" t="s">
        <v>540</v>
      </c>
      <c r="AA304" s="41" t="s">
        <v>540</v>
      </c>
      <c r="AB304" s="42" t="s">
        <v>540</v>
      </c>
      <c r="AC304" s="40"/>
      <c r="AD304" s="43">
        <v>80.5</v>
      </c>
      <c r="AE304" s="39">
        <v>13.808264883434873</v>
      </c>
      <c r="AF304" s="39">
        <v>-29.551580494976726</v>
      </c>
      <c r="AG304" s="43" t="s">
        <v>539</v>
      </c>
      <c r="AH304" s="43">
        <v>70.733000000000004</v>
      </c>
      <c r="AI304" s="43">
        <v>114.268</v>
      </c>
      <c r="AJ304" s="39" t="s">
        <v>539</v>
      </c>
      <c r="AK304" s="39" t="s">
        <v>539</v>
      </c>
      <c r="AL304" s="44"/>
      <c r="AM304" s="43">
        <v>80.5</v>
      </c>
      <c r="AN304" s="39">
        <v>13.808264883434873</v>
      </c>
      <c r="AO304" s="39">
        <v>-29.551580494976726</v>
      </c>
      <c r="AP304" s="43" t="s">
        <v>539</v>
      </c>
      <c r="AQ304" s="43">
        <v>70.733000000000004</v>
      </c>
      <c r="AR304" s="43">
        <v>114.268</v>
      </c>
      <c r="AS304" s="39" t="s">
        <v>539</v>
      </c>
      <c r="AT304" s="39" t="s">
        <v>539</v>
      </c>
      <c r="AU304" s="1">
        <v>13710.3364368</v>
      </c>
    </row>
    <row r="305" spans="2:47" ht="18" customHeight="1" x14ac:dyDescent="0.25">
      <c r="B305" s="2">
        <f>IF(G305=$B$6,MAX(B$7:B304)+1,IF($B$6="Nifty 500 - All Sector",B304+1,0))</f>
        <v>0</v>
      </c>
      <c r="C305" s="36">
        <v>14266</v>
      </c>
      <c r="D305" s="36" t="s">
        <v>324</v>
      </c>
      <c r="E305" s="36" t="s">
        <v>527</v>
      </c>
      <c r="F305" s="36" t="s">
        <v>855</v>
      </c>
      <c r="G305" s="36" t="s">
        <v>576</v>
      </c>
      <c r="H305" s="36" t="s">
        <v>529</v>
      </c>
      <c r="I305" s="37" t="s">
        <v>540</v>
      </c>
      <c r="J305" s="38" t="s">
        <v>539</v>
      </c>
      <c r="K305" s="39" t="s">
        <v>540</v>
      </c>
      <c r="L305" s="39" t="s">
        <v>540</v>
      </c>
      <c r="M305" s="38" t="s">
        <v>539</v>
      </c>
      <c r="N305" s="38">
        <v>1340.91</v>
      </c>
      <c r="O305" s="38">
        <v>1155.57</v>
      </c>
      <c r="P305" s="39" t="s">
        <v>540</v>
      </c>
      <c r="Q305" s="39" t="s">
        <v>540</v>
      </c>
      <c r="R305" s="40"/>
      <c r="S305" s="38" t="s">
        <v>539</v>
      </c>
      <c r="T305" s="39" t="s">
        <v>540</v>
      </c>
      <c r="U305" s="39" t="s">
        <v>540</v>
      </c>
      <c r="V305" s="38" t="s">
        <v>539</v>
      </c>
      <c r="W305" s="38">
        <v>388.44</v>
      </c>
      <c r="X305" s="38">
        <v>173.56</v>
      </c>
      <c r="Y305" s="39" t="s">
        <v>540</v>
      </c>
      <c r="Z305" s="39" t="s">
        <v>540</v>
      </c>
      <c r="AA305" s="41" t="s">
        <v>540</v>
      </c>
      <c r="AB305" s="42" t="s">
        <v>540</v>
      </c>
      <c r="AC305" s="40"/>
      <c r="AD305" s="43" t="s">
        <v>540</v>
      </c>
      <c r="AE305" s="39" t="s">
        <v>539</v>
      </c>
      <c r="AF305" s="39" t="s">
        <v>539</v>
      </c>
      <c r="AG305" s="43" t="s">
        <v>539</v>
      </c>
      <c r="AH305" s="43">
        <v>155.66999999999999</v>
      </c>
      <c r="AI305" s="43">
        <v>3.7700000000001399</v>
      </c>
      <c r="AJ305" s="39" t="s">
        <v>539</v>
      </c>
      <c r="AK305" s="39" t="s">
        <v>539</v>
      </c>
      <c r="AL305" s="44"/>
      <c r="AM305" s="43" t="s">
        <v>539</v>
      </c>
      <c r="AN305" s="39" t="s">
        <v>539</v>
      </c>
      <c r="AO305" s="39" t="s">
        <v>539</v>
      </c>
      <c r="AP305" s="43" t="s">
        <v>539</v>
      </c>
      <c r="AQ305" s="43">
        <v>155.66999999999999</v>
      </c>
      <c r="AR305" s="43">
        <v>3.77</v>
      </c>
      <c r="AS305" s="39" t="s">
        <v>539</v>
      </c>
      <c r="AT305" s="39" t="s">
        <v>539</v>
      </c>
      <c r="AU305" s="1">
        <v>12863.942218279</v>
      </c>
    </row>
    <row r="306" spans="2:47" ht="18" customHeight="1" x14ac:dyDescent="0.25">
      <c r="B306" s="2">
        <f>IF(G306=$B$6,MAX(B$7:B305)+1,IF($B$6="Nifty 500 - All Sector",B305+1,0))</f>
        <v>0</v>
      </c>
      <c r="C306" s="36">
        <v>12653</v>
      </c>
      <c r="D306" s="36" t="s">
        <v>325</v>
      </c>
      <c r="E306" s="36" t="s">
        <v>527</v>
      </c>
      <c r="F306" s="36" t="s">
        <v>856</v>
      </c>
      <c r="G306" s="36" t="s">
        <v>576</v>
      </c>
      <c r="H306" s="36" t="s">
        <v>529</v>
      </c>
      <c r="I306" s="37" t="s">
        <v>540</v>
      </c>
      <c r="J306" s="38" t="s">
        <v>539</v>
      </c>
      <c r="K306" s="39" t="s">
        <v>540</v>
      </c>
      <c r="L306" s="39" t="s">
        <v>540</v>
      </c>
      <c r="M306" s="38" t="s">
        <v>539</v>
      </c>
      <c r="N306" s="38">
        <v>1978.01</v>
      </c>
      <c r="O306" s="38">
        <v>1872.84</v>
      </c>
      <c r="P306" s="39" t="s">
        <v>540</v>
      </c>
      <c r="Q306" s="39" t="s">
        <v>540</v>
      </c>
      <c r="R306" s="40"/>
      <c r="S306" s="38" t="s">
        <v>539</v>
      </c>
      <c r="T306" s="39" t="s">
        <v>540</v>
      </c>
      <c r="U306" s="39" t="s">
        <v>540</v>
      </c>
      <c r="V306" s="38" t="s">
        <v>539</v>
      </c>
      <c r="W306" s="38">
        <v>589.84</v>
      </c>
      <c r="X306" s="38">
        <v>604.32000000000005</v>
      </c>
      <c r="Y306" s="39" t="s">
        <v>540</v>
      </c>
      <c r="Z306" s="39" t="s">
        <v>540</v>
      </c>
      <c r="AA306" s="41" t="s">
        <v>540</v>
      </c>
      <c r="AB306" s="42" t="s">
        <v>540</v>
      </c>
      <c r="AC306" s="40"/>
      <c r="AD306" s="43" t="s">
        <v>540</v>
      </c>
      <c r="AE306" s="39" t="s">
        <v>539</v>
      </c>
      <c r="AF306" s="39" t="s">
        <v>539</v>
      </c>
      <c r="AG306" s="43" t="s">
        <v>539</v>
      </c>
      <c r="AH306" s="43">
        <v>125.57</v>
      </c>
      <c r="AI306" s="43">
        <v>25.110000000000099</v>
      </c>
      <c r="AJ306" s="39" t="s">
        <v>539</v>
      </c>
      <c r="AK306" s="39" t="s">
        <v>539</v>
      </c>
      <c r="AL306" s="44"/>
      <c r="AM306" s="43" t="s">
        <v>539</v>
      </c>
      <c r="AN306" s="39" t="s">
        <v>539</v>
      </c>
      <c r="AO306" s="39" t="s">
        <v>539</v>
      </c>
      <c r="AP306" s="43" t="s">
        <v>539</v>
      </c>
      <c r="AQ306" s="43">
        <v>125.57</v>
      </c>
      <c r="AR306" s="43">
        <v>25.11</v>
      </c>
      <c r="AS306" s="39" t="s">
        <v>539</v>
      </c>
      <c r="AT306" s="39" t="s">
        <v>539</v>
      </c>
      <c r="AU306" s="1">
        <v>11968.921175604</v>
      </c>
    </row>
    <row r="307" spans="2:47" ht="18" customHeight="1" x14ac:dyDescent="0.25">
      <c r="B307" s="2">
        <f>IF(G307=$B$6,MAX(B$7:B306)+1,IF($B$6="Nifty 500 - All Sector",B306+1,0))</f>
        <v>0</v>
      </c>
      <c r="C307" s="36">
        <v>13369</v>
      </c>
      <c r="D307" s="36" t="s">
        <v>326</v>
      </c>
      <c r="E307" s="36" t="s">
        <v>533</v>
      </c>
      <c r="F307" s="36" t="s">
        <v>857</v>
      </c>
      <c r="G307" s="36" t="s">
        <v>576</v>
      </c>
      <c r="H307" s="36" t="s">
        <v>529</v>
      </c>
      <c r="I307" s="37" t="s">
        <v>540</v>
      </c>
      <c r="J307" s="38">
        <v>2076.85</v>
      </c>
      <c r="K307" s="39">
        <v>11.368206558168215</v>
      </c>
      <c r="L307" s="39">
        <v>0.90220961190898841</v>
      </c>
      <c r="M307" s="38" t="s">
        <v>539</v>
      </c>
      <c r="N307" s="38">
        <v>1864.85</v>
      </c>
      <c r="O307" s="38">
        <v>2058.2799999999997</v>
      </c>
      <c r="P307" s="39" t="s">
        <v>540</v>
      </c>
      <c r="Q307" s="39" t="s">
        <v>540</v>
      </c>
      <c r="R307" s="40"/>
      <c r="S307" s="38">
        <v>321.04545454545456</v>
      </c>
      <c r="T307" s="39">
        <v>15.458288010470403</v>
      </c>
      <c r="U307" s="39">
        <v>-483.12795150678465</v>
      </c>
      <c r="V307" s="38" t="s">
        <v>539</v>
      </c>
      <c r="W307" s="38">
        <v>378.37</v>
      </c>
      <c r="X307" s="38">
        <v>352.07</v>
      </c>
      <c r="Y307" s="39" t="s">
        <v>540</v>
      </c>
      <c r="Z307" s="39" t="s">
        <v>540</v>
      </c>
      <c r="AA307" s="41" t="s">
        <v>540</v>
      </c>
      <c r="AB307" s="42" t="s">
        <v>540</v>
      </c>
      <c r="AC307" s="40"/>
      <c r="AD307" s="43">
        <v>163.4222</v>
      </c>
      <c r="AE307" s="39">
        <v>-35.198778698600265</v>
      </c>
      <c r="AF307" s="39">
        <v>-19.085903847106</v>
      </c>
      <c r="AG307" s="43" t="s">
        <v>539</v>
      </c>
      <c r="AH307" s="43">
        <v>252.19</v>
      </c>
      <c r="AI307" s="43">
        <v>201.97</v>
      </c>
      <c r="AJ307" s="39" t="s">
        <v>539</v>
      </c>
      <c r="AK307" s="39" t="s">
        <v>539</v>
      </c>
      <c r="AL307" s="44"/>
      <c r="AM307" s="43">
        <v>163.4222</v>
      </c>
      <c r="AN307" s="39">
        <v>-35.198778698600265</v>
      </c>
      <c r="AO307" s="39">
        <v>-19.085903847106</v>
      </c>
      <c r="AP307" s="43" t="s">
        <v>539</v>
      </c>
      <c r="AQ307" s="43">
        <v>252.19</v>
      </c>
      <c r="AR307" s="43">
        <v>201.97</v>
      </c>
      <c r="AS307" s="39" t="s">
        <v>539</v>
      </c>
      <c r="AT307" s="39" t="s">
        <v>539</v>
      </c>
      <c r="AU307" s="1">
        <v>10637.87280171</v>
      </c>
    </row>
    <row r="308" spans="2:47" ht="18" customHeight="1" x14ac:dyDescent="0.25">
      <c r="B308" s="2">
        <f>IF(G308=$B$6,MAX(B$7:B307)+1,IF($B$6="Nifty 500 - All Sector",B307+1,0))</f>
        <v>0</v>
      </c>
      <c r="C308" s="36">
        <v>282</v>
      </c>
      <c r="D308" s="36" t="s">
        <v>327</v>
      </c>
      <c r="E308" s="36" t="s">
        <v>527</v>
      </c>
      <c r="F308" s="36" t="s">
        <v>858</v>
      </c>
      <c r="G308" s="36" t="s">
        <v>859</v>
      </c>
      <c r="H308" s="36" t="s">
        <v>532</v>
      </c>
      <c r="I308" s="37" t="s">
        <v>540</v>
      </c>
      <c r="J308" s="38">
        <v>2679.8923076923079</v>
      </c>
      <c r="K308" s="39">
        <v>10.504643348108079</v>
      </c>
      <c r="L308" s="39">
        <v>-5.7026732363471773</v>
      </c>
      <c r="M308" s="38" t="s">
        <v>539</v>
      </c>
      <c r="N308" s="38">
        <v>2425.14</v>
      </c>
      <c r="O308" s="38">
        <v>2841.96</v>
      </c>
      <c r="P308" s="39" t="s">
        <v>540</v>
      </c>
      <c r="Q308" s="39" t="s">
        <v>540</v>
      </c>
      <c r="R308" s="40"/>
      <c r="S308" s="38">
        <v>944.53333333333342</v>
      </c>
      <c r="T308" s="39">
        <v>35.245197376855941</v>
      </c>
      <c r="U308" s="39">
        <v>-8.3897025941425341</v>
      </c>
      <c r="V308" s="38" t="s">
        <v>539</v>
      </c>
      <c r="W308" s="38">
        <v>856.78</v>
      </c>
      <c r="X308" s="38">
        <v>1075.82</v>
      </c>
      <c r="Y308" s="39" t="s">
        <v>540</v>
      </c>
      <c r="Z308" s="39" t="s">
        <v>540</v>
      </c>
      <c r="AA308" s="41" t="s">
        <v>540</v>
      </c>
      <c r="AB308" s="42" t="s">
        <v>540</v>
      </c>
      <c r="AC308" s="40"/>
      <c r="AD308" s="43">
        <v>591.42499999999995</v>
      </c>
      <c r="AE308" s="39">
        <v>9.521119979259641</v>
      </c>
      <c r="AF308" s="39">
        <v>-36.699952906926967</v>
      </c>
      <c r="AG308" s="43" t="s">
        <v>539</v>
      </c>
      <c r="AH308" s="43">
        <v>540.01</v>
      </c>
      <c r="AI308" s="43">
        <v>934.32</v>
      </c>
      <c r="AJ308" s="39" t="s">
        <v>539</v>
      </c>
      <c r="AK308" s="39" t="s">
        <v>539</v>
      </c>
      <c r="AL308" s="44"/>
      <c r="AM308" s="43">
        <v>591.42499999999995</v>
      </c>
      <c r="AN308" s="39">
        <v>13.234730997511001</v>
      </c>
      <c r="AO308" s="39">
        <v>-34.52110758057195</v>
      </c>
      <c r="AP308" s="43" t="s">
        <v>539</v>
      </c>
      <c r="AQ308" s="43">
        <v>522.29999999999995</v>
      </c>
      <c r="AR308" s="43">
        <v>903.23</v>
      </c>
      <c r="AS308" s="39" t="s">
        <v>539</v>
      </c>
      <c r="AT308" s="39" t="s">
        <v>539</v>
      </c>
      <c r="AU308" s="1">
        <v>92010.659153279994</v>
      </c>
    </row>
    <row r="309" spans="2:47" ht="18" customHeight="1" x14ac:dyDescent="0.25">
      <c r="B309" s="2">
        <f>IF(G309=$B$6,MAX(B$7:B308)+1,IF($B$6="Nifty 500 - All Sector",B308+1,0))</f>
        <v>0</v>
      </c>
      <c r="C309" s="36">
        <v>91836</v>
      </c>
      <c r="D309" s="36" t="s">
        <v>328</v>
      </c>
      <c r="E309" s="36" t="s">
        <v>527</v>
      </c>
      <c r="F309" s="36" t="s">
        <v>860</v>
      </c>
      <c r="G309" s="36" t="s">
        <v>859</v>
      </c>
      <c r="H309" s="36" t="s">
        <v>535</v>
      </c>
      <c r="I309" s="37" t="s">
        <v>540</v>
      </c>
      <c r="J309" s="38">
        <v>1280.1399999999999</v>
      </c>
      <c r="K309" s="39">
        <v>20.697327977975121</v>
      </c>
      <c r="L309" s="39">
        <v>4.0189163714369203</v>
      </c>
      <c r="M309" s="38" t="s">
        <v>539</v>
      </c>
      <c r="N309" s="38">
        <v>1060.6200000000001</v>
      </c>
      <c r="O309" s="38">
        <v>1230.68</v>
      </c>
      <c r="P309" s="39" t="s">
        <v>540</v>
      </c>
      <c r="Q309" s="39" t="s">
        <v>540</v>
      </c>
      <c r="R309" s="40"/>
      <c r="S309" s="38">
        <v>498.47500000000002</v>
      </c>
      <c r="T309" s="39">
        <v>38.939100410892564</v>
      </c>
      <c r="U309" s="39">
        <v>6.6554164357519596</v>
      </c>
      <c r="V309" s="38" t="s">
        <v>539</v>
      </c>
      <c r="W309" s="38">
        <v>412.29</v>
      </c>
      <c r="X309" s="38">
        <v>467.06</v>
      </c>
      <c r="Y309" s="39" t="s">
        <v>540</v>
      </c>
      <c r="Z309" s="39" t="s">
        <v>540</v>
      </c>
      <c r="AA309" s="41" t="s">
        <v>540</v>
      </c>
      <c r="AB309" s="42" t="s">
        <v>540</v>
      </c>
      <c r="AC309" s="40"/>
      <c r="AD309" s="43">
        <v>282.14999999999998</v>
      </c>
      <c r="AE309" s="39">
        <v>11.376465479808928</v>
      </c>
      <c r="AF309" s="39">
        <v>19.575351754534644</v>
      </c>
      <c r="AG309" s="43" t="s">
        <v>539</v>
      </c>
      <c r="AH309" s="43">
        <v>253.33</v>
      </c>
      <c r="AI309" s="43">
        <v>235.96</v>
      </c>
      <c r="AJ309" s="39" t="s">
        <v>539</v>
      </c>
      <c r="AK309" s="39" t="s">
        <v>539</v>
      </c>
      <c r="AL309" s="44"/>
      <c r="AM309" s="43">
        <v>282.14999999999998</v>
      </c>
      <c r="AN309" s="39">
        <v>9.8287271311794377</v>
      </c>
      <c r="AO309" s="39">
        <v>19.997448220133542</v>
      </c>
      <c r="AP309" s="43" t="s">
        <v>539</v>
      </c>
      <c r="AQ309" s="43">
        <v>256.89999999999998</v>
      </c>
      <c r="AR309" s="43">
        <v>235.13</v>
      </c>
      <c r="AS309" s="39" t="s">
        <v>539</v>
      </c>
      <c r="AT309" s="39" t="s">
        <v>539</v>
      </c>
      <c r="AU309" s="1">
        <v>33796.290613525001</v>
      </c>
    </row>
    <row r="310" spans="2:47" ht="18" customHeight="1" x14ac:dyDescent="0.25">
      <c r="B310" s="2">
        <f>IF(G310=$B$6,MAX(B$7:B309)+1,IF($B$6="Nifty 500 - All Sector",B309+1,0))</f>
        <v>0</v>
      </c>
      <c r="C310" s="36">
        <v>15228</v>
      </c>
      <c r="D310" s="36" t="s">
        <v>329</v>
      </c>
      <c r="E310" s="36" t="s">
        <v>527</v>
      </c>
      <c r="F310" s="36" t="s">
        <v>861</v>
      </c>
      <c r="G310" s="36" t="s">
        <v>859</v>
      </c>
      <c r="H310" s="36" t="s">
        <v>529</v>
      </c>
      <c r="I310" s="37" t="s">
        <v>540</v>
      </c>
      <c r="J310" s="38">
        <v>998.8</v>
      </c>
      <c r="K310" s="39">
        <v>6.1886688142548829</v>
      </c>
      <c r="L310" s="39">
        <v>15.848566391389074</v>
      </c>
      <c r="M310" s="38" t="s">
        <v>539</v>
      </c>
      <c r="N310" s="38">
        <v>940.59</v>
      </c>
      <c r="O310" s="38">
        <v>862.16</v>
      </c>
      <c r="P310" s="39" t="s">
        <v>540</v>
      </c>
      <c r="Q310" s="39" t="s">
        <v>540</v>
      </c>
      <c r="R310" s="40"/>
      <c r="S310" s="38">
        <v>486.5333333333333</v>
      </c>
      <c r="T310" s="39">
        <v>48.711787478307301</v>
      </c>
      <c r="U310" s="39">
        <v>310.21169523608239</v>
      </c>
      <c r="V310" s="38" t="s">
        <v>539</v>
      </c>
      <c r="W310" s="38">
        <v>429</v>
      </c>
      <c r="X310" s="38">
        <v>419.63</v>
      </c>
      <c r="Y310" s="39" t="s">
        <v>540</v>
      </c>
      <c r="Z310" s="39" t="s">
        <v>540</v>
      </c>
      <c r="AA310" s="41" t="s">
        <v>540</v>
      </c>
      <c r="AB310" s="42" t="s">
        <v>540</v>
      </c>
      <c r="AC310" s="40"/>
      <c r="AD310" s="43">
        <v>418.05</v>
      </c>
      <c r="AE310" s="39">
        <v>8.2666459482557677</v>
      </c>
      <c r="AF310" s="39">
        <v>29.107473749227907</v>
      </c>
      <c r="AG310" s="43" t="s">
        <v>539</v>
      </c>
      <c r="AH310" s="43">
        <v>386.13</v>
      </c>
      <c r="AI310" s="43">
        <v>323.8</v>
      </c>
      <c r="AJ310" s="39" t="s">
        <v>539</v>
      </c>
      <c r="AK310" s="39" t="s">
        <v>539</v>
      </c>
      <c r="AL310" s="44"/>
      <c r="AM310" s="43">
        <v>418.05</v>
      </c>
      <c r="AN310" s="39">
        <v>12.503027530342603</v>
      </c>
      <c r="AO310" s="39">
        <v>29.003888168857618</v>
      </c>
      <c r="AP310" s="43" t="s">
        <v>539</v>
      </c>
      <c r="AQ310" s="43">
        <v>371.59</v>
      </c>
      <c r="AR310" s="43">
        <v>324.06</v>
      </c>
      <c r="AS310" s="39" t="s">
        <v>539</v>
      </c>
      <c r="AT310" s="39" t="s">
        <v>539</v>
      </c>
      <c r="AU310" s="1">
        <v>24458.861940300001</v>
      </c>
    </row>
    <row r="311" spans="2:47" ht="18" customHeight="1" x14ac:dyDescent="0.25">
      <c r="B311" s="2">
        <f>IF(G311=$B$6,MAX(B$7:B310)+1,IF($B$6="Nifty 500 - All Sector",B310+1,0))</f>
        <v>0</v>
      </c>
      <c r="C311" s="36">
        <v>150</v>
      </c>
      <c r="D311" s="36" t="s">
        <v>330</v>
      </c>
      <c r="E311" s="36" t="s">
        <v>527</v>
      </c>
      <c r="F311" s="36" t="s">
        <v>862</v>
      </c>
      <c r="G311" s="36" t="s">
        <v>859</v>
      </c>
      <c r="H311" s="36" t="s">
        <v>529</v>
      </c>
      <c r="I311" s="37" t="s">
        <v>540</v>
      </c>
      <c r="J311" s="38">
        <v>850</v>
      </c>
      <c r="K311" s="39">
        <v>2.7252401957822192</v>
      </c>
      <c r="L311" s="39">
        <v>-2.6223235459221672</v>
      </c>
      <c r="M311" s="38" t="s">
        <v>539</v>
      </c>
      <c r="N311" s="38">
        <v>827.45</v>
      </c>
      <c r="O311" s="38">
        <v>872.89</v>
      </c>
      <c r="P311" s="39" t="s">
        <v>540</v>
      </c>
      <c r="Q311" s="39" t="s">
        <v>540</v>
      </c>
      <c r="R311" s="40"/>
      <c r="S311" s="38">
        <v>375.5</v>
      </c>
      <c r="T311" s="39">
        <v>44.176470588235297</v>
      </c>
      <c r="U311" s="39">
        <v>178.11596933171785</v>
      </c>
      <c r="V311" s="38" t="s">
        <v>539</v>
      </c>
      <c r="W311" s="38">
        <v>350.8</v>
      </c>
      <c r="X311" s="38">
        <v>376.25</v>
      </c>
      <c r="Y311" s="39" t="s">
        <v>540</v>
      </c>
      <c r="Z311" s="39" t="s">
        <v>540</v>
      </c>
      <c r="AA311" s="41" t="s">
        <v>540</v>
      </c>
      <c r="AB311" s="42" t="s">
        <v>540</v>
      </c>
      <c r="AC311" s="40"/>
      <c r="AD311" s="43">
        <v>266.10000000000002</v>
      </c>
      <c r="AE311" s="39">
        <v>13.296717332992735</v>
      </c>
      <c r="AF311" s="39">
        <v>12.692161097700438</v>
      </c>
      <c r="AG311" s="43" t="s">
        <v>539</v>
      </c>
      <c r="AH311" s="43">
        <v>234.87</v>
      </c>
      <c r="AI311" s="43">
        <v>236.13</v>
      </c>
      <c r="AJ311" s="39" t="s">
        <v>539</v>
      </c>
      <c r="AK311" s="39" t="s">
        <v>539</v>
      </c>
      <c r="AL311" s="44"/>
      <c r="AM311" s="43">
        <v>266.10000000000002</v>
      </c>
      <c r="AN311" s="39">
        <v>5.2028148968134902</v>
      </c>
      <c r="AO311" s="39">
        <v>9.492655227749669</v>
      </c>
      <c r="AP311" s="43" t="s">
        <v>539</v>
      </c>
      <c r="AQ311" s="43">
        <v>252.94</v>
      </c>
      <c r="AR311" s="43">
        <v>243.03</v>
      </c>
      <c r="AS311" s="39" t="s">
        <v>539</v>
      </c>
      <c r="AT311" s="39" t="s">
        <v>539</v>
      </c>
      <c r="AU311" s="1">
        <v>19698.971732999998</v>
      </c>
    </row>
    <row r="312" spans="2:47" ht="18" customHeight="1" x14ac:dyDescent="0.25">
      <c r="B312" s="2">
        <f>IF(G312=$B$6,MAX(B$7:B311)+1,IF($B$6="Nifty 500 - All Sector",B311+1,0))</f>
        <v>0</v>
      </c>
      <c r="C312" s="36">
        <v>25902</v>
      </c>
      <c r="D312" s="36" t="s">
        <v>331</v>
      </c>
      <c r="E312" s="36" t="s">
        <v>527</v>
      </c>
      <c r="F312" s="36" t="s">
        <v>863</v>
      </c>
      <c r="G312" s="36" t="s">
        <v>859</v>
      </c>
      <c r="H312" s="36" t="s">
        <v>529</v>
      </c>
      <c r="I312" s="37" t="s">
        <v>540</v>
      </c>
      <c r="J312" s="38">
        <v>555.11249999999995</v>
      </c>
      <c r="K312" s="39">
        <v>6.3486878656791257</v>
      </c>
      <c r="L312" s="39">
        <v>-4.5667175541022953</v>
      </c>
      <c r="M312" s="38" t="s">
        <v>539</v>
      </c>
      <c r="N312" s="38">
        <v>521.97400000000005</v>
      </c>
      <c r="O312" s="38">
        <v>581.67600000000004</v>
      </c>
      <c r="P312" s="39" t="s">
        <v>540</v>
      </c>
      <c r="Q312" s="39" t="s">
        <v>540</v>
      </c>
      <c r="R312" s="40"/>
      <c r="S312" s="38">
        <v>258.35000000000002</v>
      </c>
      <c r="T312" s="39">
        <v>46.540115742304494</v>
      </c>
      <c r="U312" s="39">
        <v>28.340563796979268</v>
      </c>
      <c r="V312" s="38" t="s">
        <v>539</v>
      </c>
      <c r="W312" s="38">
        <v>241.44800000000001</v>
      </c>
      <c r="X312" s="38">
        <v>265.09800000000001</v>
      </c>
      <c r="Y312" s="39" t="s">
        <v>540</v>
      </c>
      <c r="Z312" s="39" t="s">
        <v>540</v>
      </c>
      <c r="AA312" s="41" t="s">
        <v>540</v>
      </c>
      <c r="AB312" s="42" t="s">
        <v>540</v>
      </c>
      <c r="AC312" s="40"/>
      <c r="AD312" s="43">
        <v>123.8</v>
      </c>
      <c r="AE312" s="39">
        <v>-2.8263415028062511E-2</v>
      </c>
      <c r="AF312" s="39">
        <v>-0.21601057484604835</v>
      </c>
      <c r="AG312" s="43" t="s">
        <v>539</v>
      </c>
      <c r="AH312" s="43">
        <v>123.83499999999999</v>
      </c>
      <c r="AI312" s="43">
        <v>124.068</v>
      </c>
      <c r="AJ312" s="39" t="s">
        <v>539</v>
      </c>
      <c r="AK312" s="39" t="s">
        <v>539</v>
      </c>
      <c r="AL312" s="44"/>
      <c r="AM312" s="43">
        <v>123.8</v>
      </c>
      <c r="AN312" s="39">
        <v>-3.7142903283116091E-2</v>
      </c>
      <c r="AO312" s="39">
        <v>-0.23450532270672397</v>
      </c>
      <c r="AP312" s="43" t="s">
        <v>539</v>
      </c>
      <c r="AQ312" s="43">
        <v>123.846</v>
      </c>
      <c r="AR312" s="43">
        <v>124.09099999999999</v>
      </c>
      <c r="AS312" s="39" t="s">
        <v>539</v>
      </c>
      <c r="AT312" s="39" t="s">
        <v>539</v>
      </c>
      <c r="AU312" s="1">
        <v>16937.00578218</v>
      </c>
    </row>
    <row r="313" spans="2:47" ht="18" customHeight="1" x14ac:dyDescent="0.25">
      <c r="B313" s="2">
        <f>IF(G313=$B$6,MAX(B$7:B312)+1,IF($B$6="Nifty 500 - All Sector",B312+1,0))</f>
        <v>0</v>
      </c>
      <c r="C313" s="36">
        <v>78092</v>
      </c>
      <c r="D313" s="36" t="s">
        <v>332</v>
      </c>
      <c r="E313" s="36" t="s">
        <v>527</v>
      </c>
      <c r="F313" s="36" t="s">
        <v>864</v>
      </c>
      <c r="G313" s="36" t="s">
        <v>859</v>
      </c>
      <c r="H313" s="36" t="s">
        <v>529</v>
      </c>
      <c r="I313" s="37" t="s">
        <v>540</v>
      </c>
      <c r="J313" s="38">
        <v>501.5</v>
      </c>
      <c r="K313" s="39" t="s">
        <v>540</v>
      </c>
      <c r="L313" s="39">
        <v>9.6340213059455948</v>
      </c>
      <c r="M313" s="38" t="s">
        <v>539</v>
      </c>
      <c r="N313" s="38">
        <v>0</v>
      </c>
      <c r="O313" s="38">
        <v>457.43099999999998</v>
      </c>
      <c r="P313" s="39" t="s">
        <v>540</v>
      </c>
      <c r="Q313" s="39" t="s">
        <v>540</v>
      </c>
      <c r="R313" s="40"/>
      <c r="S313" s="38">
        <v>284.39999999999998</v>
      </c>
      <c r="T313" s="39">
        <v>56.709870388833494</v>
      </c>
      <c r="U313" s="39" t="s">
        <v>540</v>
      </c>
      <c r="V313" s="38" t="s">
        <v>539</v>
      </c>
      <c r="W313" s="38" t="s">
        <v>540</v>
      </c>
      <c r="X313" s="38">
        <v>237.827</v>
      </c>
      <c r="Y313" s="39" t="s">
        <v>540</v>
      </c>
      <c r="Z313" s="39" t="s">
        <v>540</v>
      </c>
      <c r="AA313" s="41" t="s">
        <v>540</v>
      </c>
      <c r="AB313" s="42" t="s">
        <v>540</v>
      </c>
      <c r="AC313" s="40"/>
      <c r="AD313" s="43">
        <v>146.5</v>
      </c>
      <c r="AE313" s="39" t="s">
        <v>539</v>
      </c>
      <c r="AF313" s="39">
        <v>-2.5749474636235559</v>
      </c>
      <c r="AG313" s="43" t="s">
        <v>539</v>
      </c>
      <c r="AH313" s="43">
        <v>0</v>
      </c>
      <c r="AI313" s="43">
        <v>150.37200000000001</v>
      </c>
      <c r="AJ313" s="39" t="s">
        <v>539</v>
      </c>
      <c r="AK313" s="39" t="s">
        <v>539</v>
      </c>
      <c r="AL313" s="44"/>
      <c r="AM313" s="43">
        <v>146.5</v>
      </c>
      <c r="AN313" s="39" t="s">
        <v>539</v>
      </c>
      <c r="AO313" s="39">
        <v>-0.93385898120785793</v>
      </c>
      <c r="AP313" s="43" t="s">
        <v>539</v>
      </c>
      <c r="AQ313" s="43">
        <v>0</v>
      </c>
      <c r="AR313" s="43">
        <v>147.881</v>
      </c>
      <c r="AS313" s="39" t="s">
        <v>539</v>
      </c>
      <c r="AT313" s="39" t="s">
        <v>539</v>
      </c>
      <c r="AU313" s="1">
        <v>14345.160649490001</v>
      </c>
    </row>
    <row r="314" spans="2:47" ht="18" customHeight="1" x14ac:dyDescent="0.25">
      <c r="B314" s="2">
        <f>IF(G314=$B$6,MAX(B$7:B313)+1,IF($B$6="Nifty 500 - All Sector",B313+1,0))</f>
        <v>0</v>
      </c>
      <c r="C314" s="36">
        <v>14622</v>
      </c>
      <c r="D314" s="36" t="s">
        <v>333</v>
      </c>
      <c r="E314" s="36" t="s">
        <v>527</v>
      </c>
      <c r="F314" s="36" t="s">
        <v>865</v>
      </c>
      <c r="G314" s="36" t="s">
        <v>859</v>
      </c>
      <c r="H314" s="36" t="s">
        <v>529</v>
      </c>
      <c r="I314" s="37" t="s">
        <v>540</v>
      </c>
      <c r="J314" s="38">
        <v>1514.1</v>
      </c>
      <c r="K314" s="39">
        <v>21.147383581373024</v>
      </c>
      <c r="L314" s="39">
        <v>-19.454197255027129</v>
      </c>
      <c r="M314" s="38" t="s">
        <v>539</v>
      </c>
      <c r="N314" s="38">
        <v>1249.8</v>
      </c>
      <c r="O314" s="38">
        <v>1879.8</v>
      </c>
      <c r="P314" s="39" t="s">
        <v>540</v>
      </c>
      <c r="Q314" s="39" t="s">
        <v>540</v>
      </c>
      <c r="R314" s="40"/>
      <c r="S314" s="38">
        <v>412.55</v>
      </c>
      <c r="T314" s="39">
        <v>27.247209563437032</v>
      </c>
      <c r="U314" s="39">
        <v>459.55853035554492</v>
      </c>
      <c r="V314" s="38" t="s">
        <v>539</v>
      </c>
      <c r="W314" s="38">
        <v>283.10000000000002</v>
      </c>
      <c r="X314" s="38">
        <v>622.29999999999995</v>
      </c>
      <c r="Y314" s="39" t="s">
        <v>540</v>
      </c>
      <c r="Z314" s="39" t="s">
        <v>540</v>
      </c>
      <c r="AA314" s="41" t="s">
        <v>540</v>
      </c>
      <c r="AB314" s="42" t="s">
        <v>540</v>
      </c>
      <c r="AC314" s="40"/>
      <c r="AD314" s="43">
        <v>-37.15</v>
      </c>
      <c r="AE314" s="39" t="s">
        <v>548</v>
      </c>
      <c r="AF314" s="39" t="s">
        <v>808</v>
      </c>
      <c r="AG314" s="43" t="s">
        <v>539</v>
      </c>
      <c r="AH314" s="43">
        <v>-125.1</v>
      </c>
      <c r="AI314" s="43">
        <v>95.4</v>
      </c>
      <c r="AJ314" s="39" t="s">
        <v>547</v>
      </c>
      <c r="AK314" s="39" t="s">
        <v>539</v>
      </c>
      <c r="AL314" s="44"/>
      <c r="AM314" s="43">
        <v>-37.15</v>
      </c>
      <c r="AN314" s="39" t="s">
        <v>548</v>
      </c>
      <c r="AO314" s="39" t="s">
        <v>808</v>
      </c>
      <c r="AP314" s="43" t="s">
        <v>539</v>
      </c>
      <c r="AQ314" s="43">
        <v>-125</v>
      </c>
      <c r="AR314" s="43">
        <v>95.7</v>
      </c>
      <c r="AS314" s="39" t="s">
        <v>547</v>
      </c>
      <c r="AT314" s="39" t="s">
        <v>539</v>
      </c>
      <c r="AU314" s="1">
        <v>9252.4004196400001</v>
      </c>
    </row>
    <row r="315" spans="2:47" ht="18" customHeight="1" x14ac:dyDescent="0.25">
      <c r="B315" s="2">
        <f>IF(G315=$B$6,MAX(B$7:B314)+1,IF($B$6="Nifty 500 - All Sector",B314+1,0))</f>
        <v>0</v>
      </c>
      <c r="C315" s="36">
        <v>40619</v>
      </c>
      <c r="D315" s="36" t="s">
        <v>334</v>
      </c>
      <c r="E315" s="36" t="s">
        <v>527</v>
      </c>
      <c r="F315" s="36" t="s">
        <v>866</v>
      </c>
      <c r="G315" s="36" t="s">
        <v>859</v>
      </c>
      <c r="H315" s="36" t="s">
        <v>529</v>
      </c>
      <c r="I315" s="37" t="s">
        <v>540</v>
      </c>
      <c r="J315" s="38">
        <v>410.76000000000005</v>
      </c>
      <c r="K315" s="39">
        <v>8.5188169557349305</v>
      </c>
      <c r="L315" s="39">
        <v>1.1594574093958476</v>
      </c>
      <c r="M315" s="38" t="s">
        <v>539</v>
      </c>
      <c r="N315" s="38">
        <v>378.51499999999999</v>
      </c>
      <c r="O315" s="38">
        <v>406.05200000000002</v>
      </c>
      <c r="P315" s="39" t="s">
        <v>540</v>
      </c>
      <c r="Q315" s="39" t="s">
        <v>540</v>
      </c>
      <c r="R315" s="40"/>
      <c r="S315" s="38">
        <v>210.75</v>
      </c>
      <c r="T315" s="39">
        <v>51.307332749050538</v>
      </c>
      <c r="U315" s="39">
        <v>-261.73465899452776</v>
      </c>
      <c r="V315" s="38" t="s">
        <v>539</v>
      </c>
      <c r="W315" s="38">
        <v>204.113</v>
      </c>
      <c r="X315" s="38">
        <v>204.68600000000001</v>
      </c>
      <c r="Y315" s="39" t="s">
        <v>540</v>
      </c>
      <c r="Z315" s="39" t="s">
        <v>540</v>
      </c>
      <c r="AA315" s="41" t="s">
        <v>540</v>
      </c>
      <c r="AB315" s="42" t="s">
        <v>540</v>
      </c>
      <c r="AC315" s="40"/>
      <c r="AD315" s="43">
        <v>98.3</v>
      </c>
      <c r="AE315" s="39">
        <v>-9.626646808432394</v>
      </c>
      <c r="AF315" s="39">
        <v>20.159397613925268</v>
      </c>
      <c r="AG315" s="43" t="s">
        <v>539</v>
      </c>
      <c r="AH315" s="43">
        <v>108.771</v>
      </c>
      <c r="AI315" s="43">
        <v>81.808000000000007</v>
      </c>
      <c r="AJ315" s="39" t="s">
        <v>539</v>
      </c>
      <c r="AK315" s="39" t="s">
        <v>539</v>
      </c>
      <c r="AL315" s="44"/>
      <c r="AM315" s="43">
        <v>98.3</v>
      </c>
      <c r="AN315" s="39">
        <v>16.138941398865782</v>
      </c>
      <c r="AO315" s="39">
        <v>56.855861749828463</v>
      </c>
      <c r="AP315" s="43" t="s">
        <v>539</v>
      </c>
      <c r="AQ315" s="43">
        <v>84.64</v>
      </c>
      <c r="AR315" s="43">
        <v>62.668999999999997</v>
      </c>
      <c r="AS315" s="39" t="s">
        <v>539</v>
      </c>
      <c r="AT315" s="39" t="s">
        <v>539</v>
      </c>
      <c r="AU315" s="1">
        <v>9059.3383158399993</v>
      </c>
    </row>
    <row r="316" spans="2:47" ht="18" customHeight="1" x14ac:dyDescent="0.25">
      <c r="B316" s="2">
        <f>IF(G316=$B$6,MAX(B$7:B315)+1,IF($B$6="Nifty 500 - All Sector",B315+1,0))</f>
        <v>0</v>
      </c>
      <c r="C316" s="36">
        <v>3126</v>
      </c>
      <c r="D316" s="36" t="s">
        <v>335</v>
      </c>
      <c r="E316" s="36" t="s">
        <v>527</v>
      </c>
      <c r="F316" s="36" t="s">
        <v>867</v>
      </c>
      <c r="G316" s="36" t="s">
        <v>859</v>
      </c>
      <c r="H316" s="36" t="s">
        <v>529</v>
      </c>
      <c r="I316" s="37" t="s">
        <v>540</v>
      </c>
      <c r="J316" s="38">
        <v>2106.0749999999998</v>
      </c>
      <c r="K316" s="39">
        <v>-3.5724096882010947</v>
      </c>
      <c r="L316" s="39">
        <v>-7.6323406868119896</v>
      </c>
      <c r="M316" s="38" t="s">
        <v>539</v>
      </c>
      <c r="N316" s="38">
        <v>2184.1</v>
      </c>
      <c r="O316" s="38">
        <v>2280.1</v>
      </c>
      <c r="P316" s="39" t="s">
        <v>540</v>
      </c>
      <c r="Q316" s="39" t="s">
        <v>540</v>
      </c>
      <c r="R316" s="40"/>
      <c r="S316" s="38">
        <v>218.35714285714289</v>
      </c>
      <c r="T316" s="39">
        <v>10.367966138772024</v>
      </c>
      <c r="U316" s="39">
        <v>-326.2362142900061</v>
      </c>
      <c r="V316" s="38" t="s">
        <v>539</v>
      </c>
      <c r="W316" s="38">
        <v>297.7</v>
      </c>
      <c r="X316" s="38">
        <v>255.6</v>
      </c>
      <c r="Y316" s="39" t="s">
        <v>540</v>
      </c>
      <c r="Z316" s="39" t="s">
        <v>540</v>
      </c>
      <c r="AA316" s="41" t="s">
        <v>540</v>
      </c>
      <c r="AB316" s="42" t="s">
        <v>540</v>
      </c>
      <c r="AC316" s="40"/>
      <c r="AD316" s="43">
        <v>136.85</v>
      </c>
      <c r="AE316" s="39">
        <v>-27.400530503978782</v>
      </c>
      <c r="AF316" s="39">
        <v>-11.595607235142126</v>
      </c>
      <c r="AG316" s="43" t="s">
        <v>539</v>
      </c>
      <c r="AH316" s="43">
        <v>188.5</v>
      </c>
      <c r="AI316" s="43">
        <v>154.80000000000001</v>
      </c>
      <c r="AJ316" s="39" t="s">
        <v>539</v>
      </c>
      <c r="AK316" s="39" t="s">
        <v>539</v>
      </c>
      <c r="AL316" s="44"/>
      <c r="AM316" s="43">
        <v>136.85</v>
      </c>
      <c r="AN316" s="39">
        <v>-27.361995753715508</v>
      </c>
      <c r="AO316" s="39">
        <v>-11.880231809401165</v>
      </c>
      <c r="AP316" s="43" t="s">
        <v>539</v>
      </c>
      <c r="AQ316" s="43">
        <v>188.4</v>
      </c>
      <c r="AR316" s="43">
        <v>155.30000000000001</v>
      </c>
      <c r="AS316" s="39" t="s">
        <v>539</v>
      </c>
      <c r="AT316" s="39" t="s">
        <v>539</v>
      </c>
      <c r="AU316" s="1">
        <v>7946.3771616599997</v>
      </c>
    </row>
    <row r="317" spans="2:47" ht="18" customHeight="1" x14ac:dyDescent="0.25">
      <c r="B317" s="2">
        <f>IF(G317=$B$6,MAX(B$7:B316)+1,IF($B$6="Nifty 500 - All Sector",B316+1,0))</f>
        <v>0</v>
      </c>
      <c r="C317" s="36">
        <v>204</v>
      </c>
      <c r="D317" s="36" t="s">
        <v>336</v>
      </c>
      <c r="E317" s="36" t="s">
        <v>527</v>
      </c>
      <c r="F317" s="36" t="s">
        <v>868</v>
      </c>
      <c r="G317" s="36" t="s">
        <v>859</v>
      </c>
      <c r="H317" s="36" t="s">
        <v>529</v>
      </c>
      <c r="I317" s="37" t="s">
        <v>540</v>
      </c>
      <c r="J317" s="38">
        <v>261.05</v>
      </c>
      <c r="K317" s="39">
        <v>8.4004650776513756</v>
      </c>
      <c r="L317" s="39">
        <v>0.25731623012521521</v>
      </c>
      <c r="M317" s="38" t="s">
        <v>539</v>
      </c>
      <c r="N317" s="38">
        <v>240.82</v>
      </c>
      <c r="O317" s="38">
        <v>260.38</v>
      </c>
      <c r="P317" s="39" t="s">
        <v>540</v>
      </c>
      <c r="Q317" s="39" t="s">
        <v>540</v>
      </c>
      <c r="R317" s="40"/>
      <c r="S317" s="38">
        <v>88.5</v>
      </c>
      <c r="T317" s="39">
        <v>33.901551426929707</v>
      </c>
      <c r="U317" s="39">
        <v>54.883985812313085</v>
      </c>
      <c r="V317" s="38" t="s">
        <v>539</v>
      </c>
      <c r="W317" s="38">
        <v>80.319999999999993</v>
      </c>
      <c r="X317" s="38">
        <v>91.74</v>
      </c>
      <c r="Y317" s="39" t="s">
        <v>540</v>
      </c>
      <c r="Z317" s="39" t="s">
        <v>540</v>
      </c>
      <c r="AA317" s="41" t="s">
        <v>540</v>
      </c>
      <c r="AB317" s="42" t="s">
        <v>540</v>
      </c>
      <c r="AC317" s="40"/>
      <c r="AD317" s="43">
        <v>57.35</v>
      </c>
      <c r="AE317" s="39">
        <v>-4.1931172736384914</v>
      </c>
      <c r="AF317" s="39">
        <v>11.924277907884463</v>
      </c>
      <c r="AG317" s="43" t="s">
        <v>539</v>
      </c>
      <c r="AH317" s="43">
        <v>59.86</v>
      </c>
      <c r="AI317" s="43">
        <v>51.24</v>
      </c>
      <c r="AJ317" s="39" t="s">
        <v>539</v>
      </c>
      <c r="AK317" s="39" t="s">
        <v>539</v>
      </c>
      <c r="AL317" s="44"/>
      <c r="AM317" s="43">
        <v>57.35</v>
      </c>
      <c r="AN317" s="39">
        <v>-4.6233161483452578</v>
      </c>
      <c r="AO317" s="39">
        <v>11.880608661724557</v>
      </c>
      <c r="AP317" s="43" t="s">
        <v>539</v>
      </c>
      <c r="AQ317" s="43">
        <v>60.13</v>
      </c>
      <c r="AR317" s="43">
        <v>51.26</v>
      </c>
      <c r="AS317" s="39" t="s">
        <v>539</v>
      </c>
      <c r="AT317" s="39" t="s">
        <v>539</v>
      </c>
      <c r="AU317" s="1">
        <v>6610.4733646499999</v>
      </c>
    </row>
    <row r="318" spans="2:47" ht="18" customHeight="1" x14ac:dyDescent="0.25">
      <c r="B318" s="2">
        <f>IF(G318=$B$6,MAX(B$7:B317)+1,IF($B$6="Nifty 500 - All Sector",B317+1,0))</f>
        <v>0</v>
      </c>
      <c r="C318" s="36">
        <v>21236</v>
      </c>
      <c r="D318" s="36" t="s">
        <v>337</v>
      </c>
      <c r="E318" s="36" t="s">
        <v>527</v>
      </c>
      <c r="F318" s="36" t="s">
        <v>869</v>
      </c>
      <c r="G318" s="36" t="s">
        <v>870</v>
      </c>
      <c r="H318" s="36" t="s">
        <v>535</v>
      </c>
      <c r="I318" s="37" t="s">
        <v>540</v>
      </c>
      <c r="J318" s="38">
        <v>1576</v>
      </c>
      <c r="K318" s="39">
        <v>86.147595199848823</v>
      </c>
      <c r="L318" s="39">
        <v>26.677919781368065</v>
      </c>
      <c r="M318" s="38" t="s">
        <v>539</v>
      </c>
      <c r="N318" s="38">
        <v>846.64</v>
      </c>
      <c r="O318" s="38">
        <v>1244.0999999999999</v>
      </c>
      <c r="P318" s="39" t="s">
        <v>540</v>
      </c>
      <c r="Q318" s="39" t="s">
        <v>540</v>
      </c>
      <c r="R318" s="40"/>
      <c r="S318" s="38">
        <v>1063.0999999999999</v>
      </c>
      <c r="T318" s="39">
        <v>67.455583756345177</v>
      </c>
      <c r="U318" s="39">
        <v>-265.33173114049902</v>
      </c>
      <c r="V318" s="38" t="s">
        <v>539</v>
      </c>
      <c r="W318" s="38">
        <v>593.57000000000005</v>
      </c>
      <c r="X318" s="38">
        <v>732.14</v>
      </c>
      <c r="Y318" s="39" t="s">
        <v>540</v>
      </c>
      <c r="Z318" s="39" t="s">
        <v>540</v>
      </c>
      <c r="AA318" s="41" t="s">
        <v>540</v>
      </c>
      <c r="AB318" s="42" t="s">
        <v>540</v>
      </c>
      <c r="AC318" s="40"/>
      <c r="AD318" s="43">
        <v>768.35</v>
      </c>
      <c r="AE318" s="39">
        <v>60.941329255775955</v>
      </c>
      <c r="AF318" s="39">
        <v>32.83600152138586</v>
      </c>
      <c r="AG318" s="43" t="s">
        <v>539</v>
      </c>
      <c r="AH318" s="43">
        <v>477.41</v>
      </c>
      <c r="AI318" s="43">
        <v>578.41999999999996</v>
      </c>
      <c r="AJ318" s="39" t="s">
        <v>539</v>
      </c>
      <c r="AK318" s="39" t="s">
        <v>539</v>
      </c>
      <c r="AL318" s="44"/>
      <c r="AM318" s="43">
        <v>768.35</v>
      </c>
      <c r="AN318" s="39">
        <v>55.404312123295973</v>
      </c>
      <c r="AO318" s="39">
        <v>27.673185889234155</v>
      </c>
      <c r="AP318" s="43" t="s">
        <v>539</v>
      </c>
      <c r="AQ318" s="43">
        <v>494.42</v>
      </c>
      <c r="AR318" s="43">
        <v>601.80999999999995</v>
      </c>
      <c r="AS318" s="39" t="s">
        <v>539</v>
      </c>
      <c r="AT318" s="39" t="s">
        <v>539</v>
      </c>
      <c r="AU318" s="1">
        <v>138301.25398839</v>
      </c>
    </row>
    <row r="319" spans="2:47" ht="18" customHeight="1" x14ac:dyDescent="0.25">
      <c r="B319" s="2">
        <f>IF(G319=$B$6,MAX(B$7:B318)+1,IF($B$6="Nifty 500 - All Sector",B318+1,0))</f>
        <v>0</v>
      </c>
      <c r="C319" s="36">
        <v>25746</v>
      </c>
      <c r="D319" s="36" t="s">
        <v>338</v>
      </c>
      <c r="E319" s="36" t="s">
        <v>527</v>
      </c>
      <c r="F319" s="36" t="s">
        <v>871</v>
      </c>
      <c r="G319" s="36" t="s">
        <v>870</v>
      </c>
      <c r="H319" s="36" t="s">
        <v>535</v>
      </c>
      <c r="I319" s="37" t="s">
        <v>540</v>
      </c>
      <c r="J319" s="38">
        <v>820.8</v>
      </c>
      <c r="K319" s="39">
        <v>181.74235403151067</v>
      </c>
      <c r="L319" s="39">
        <v>23.313602355698436</v>
      </c>
      <c r="M319" s="38" t="s">
        <v>539</v>
      </c>
      <c r="N319" s="38">
        <v>291.33</v>
      </c>
      <c r="O319" s="38">
        <v>665.62</v>
      </c>
      <c r="P319" s="39" t="s">
        <v>540</v>
      </c>
      <c r="Q319" s="39" t="s">
        <v>540</v>
      </c>
      <c r="R319" s="40"/>
      <c r="S319" s="38">
        <v>674.2</v>
      </c>
      <c r="T319" s="39">
        <v>82.139376218323605</v>
      </c>
      <c r="U319" s="39">
        <v>2715.3621232568617</v>
      </c>
      <c r="V319" s="38" t="s">
        <v>539</v>
      </c>
      <c r="W319" s="38">
        <v>160.19</v>
      </c>
      <c r="X319" s="38">
        <v>495.16</v>
      </c>
      <c r="Y319" s="39" t="s">
        <v>540</v>
      </c>
      <c r="Z319" s="39" t="s">
        <v>540</v>
      </c>
      <c r="AA319" s="41" t="s">
        <v>540</v>
      </c>
      <c r="AB319" s="42" t="s">
        <v>540</v>
      </c>
      <c r="AC319" s="40"/>
      <c r="AD319" s="43">
        <v>494.5</v>
      </c>
      <c r="AE319" s="39">
        <v>267.11210096510769</v>
      </c>
      <c r="AF319" s="39">
        <v>22.832728898604017</v>
      </c>
      <c r="AG319" s="43" t="s">
        <v>539</v>
      </c>
      <c r="AH319" s="43">
        <v>134.69999999999999</v>
      </c>
      <c r="AI319" s="43">
        <v>402.58</v>
      </c>
      <c r="AJ319" s="39" t="s">
        <v>539</v>
      </c>
      <c r="AK319" s="39" t="s">
        <v>539</v>
      </c>
      <c r="AL319" s="44"/>
      <c r="AM319" s="43">
        <v>494.5</v>
      </c>
      <c r="AN319" s="39">
        <v>265.0524139967518</v>
      </c>
      <c r="AO319" s="39">
        <v>23.279816513761475</v>
      </c>
      <c r="AP319" s="43" t="s">
        <v>539</v>
      </c>
      <c r="AQ319" s="43">
        <v>135.46</v>
      </c>
      <c r="AR319" s="43">
        <v>401.12</v>
      </c>
      <c r="AS319" s="39" t="s">
        <v>539</v>
      </c>
      <c r="AT319" s="39" t="s">
        <v>539</v>
      </c>
      <c r="AU319" s="1">
        <v>72690.525254149994</v>
      </c>
    </row>
    <row r="320" spans="2:47" ht="18" customHeight="1" x14ac:dyDescent="0.25">
      <c r="B320" s="2">
        <f>IF(G320=$B$6,MAX(B$7:B319)+1,IF($B$6="Nifty 500 - All Sector",B319+1,0))</f>
        <v>0</v>
      </c>
      <c r="C320" s="36">
        <v>70961</v>
      </c>
      <c r="D320" s="36" t="s">
        <v>339</v>
      </c>
      <c r="E320" s="36" t="s">
        <v>527</v>
      </c>
      <c r="F320" s="36" t="s">
        <v>872</v>
      </c>
      <c r="G320" s="36" t="s">
        <v>870</v>
      </c>
      <c r="H320" s="36" t="s">
        <v>529</v>
      </c>
      <c r="I320" s="37" t="s">
        <v>540</v>
      </c>
      <c r="J320" s="38">
        <v>165.6</v>
      </c>
      <c r="K320" s="39">
        <v>16.416399527585625</v>
      </c>
      <c r="L320" s="39">
        <v>13.683169948101149</v>
      </c>
      <c r="M320" s="38" t="s">
        <v>539</v>
      </c>
      <c r="N320" s="38">
        <v>142.24799999999999</v>
      </c>
      <c r="O320" s="38">
        <v>145.66800000000001</v>
      </c>
      <c r="P320" s="39" t="s">
        <v>540</v>
      </c>
      <c r="Q320" s="39" t="s">
        <v>540</v>
      </c>
      <c r="R320" s="40"/>
      <c r="S320" s="38">
        <v>142</v>
      </c>
      <c r="T320" s="39">
        <v>85.748792270531411</v>
      </c>
      <c r="U320" s="39">
        <v>46.393765043129065</v>
      </c>
      <c r="V320" s="38" t="s">
        <v>539</v>
      </c>
      <c r="W320" s="38">
        <v>121.316</v>
      </c>
      <c r="X320" s="38">
        <v>121.934</v>
      </c>
      <c r="Y320" s="39" t="s">
        <v>540</v>
      </c>
      <c r="Z320" s="39" t="s">
        <v>540</v>
      </c>
      <c r="AA320" s="41" t="s">
        <v>540</v>
      </c>
      <c r="AB320" s="42" t="s">
        <v>540</v>
      </c>
      <c r="AC320" s="40"/>
      <c r="AD320" s="43">
        <v>131.16669999999999</v>
      </c>
      <c r="AE320" s="39">
        <v>16.196006519967398</v>
      </c>
      <c r="AF320" s="39">
        <v>14.125482894233098</v>
      </c>
      <c r="AG320" s="43" t="s">
        <v>539</v>
      </c>
      <c r="AH320" s="43">
        <v>112.884</v>
      </c>
      <c r="AI320" s="43">
        <v>114.932</v>
      </c>
      <c r="AJ320" s="39" t="s">
        <v>539</v>
      </c>
      <c r="AK320" s="39" t="s">
        <v>539</v>
      </c>
      <c r="AL320" s="44"/>
      <c r="AM320" s="43">
        <v>131.16669999999999</v>
      </c>
      <c r="AN320" s="39">
        <v>12.000119542663912</v>
      </c>
      <c r="AO320" s="39">
        <v>10.126946811636772</v>
      </c>
      <c r="AP320" s="43" t="s">
        <v>539</v>
      </c>
      <c r="AQ320" s="43">
        <v>117.113</v>
      </c>
      <c r="AR320" s="43">
        <v>119.105</v>
      </c>
      <c r="AS320" s="39" t="s">
        <v>539</v>
      </c>
      <c r="AT320" s="39" t="s">
        <v>539</v>
      </c>
      <c r="AU320" s="1">
        <v>11832.762593449999</v>
      </c>
    </row>
    <row r="321" spans="2:47" ht="18" customHeight="1" x14ac:dyDescent="0.25">
      <c r="B321" s="2">
        <f>IF(G321=$B$6,MAX(B$7:B320)+1,IF($B$6="Nifty 500 - All Sector",B320+1,0))</f>
        <v>0</v>
      </c>
      <c r="C321" s="36">
        <v>12024</v>
      </c>
      <c r="D321" s="36" t="s">
        <v>340</v>
      </c>
      <c r="E321" s="36" t="s">
        <v>533</v>
      </c>
      <c r="F321" s="36" t="s">
        <v>873</v>
      </c>
      <c r="G321" s="36" t="s">
        <v>2</v>
      </c>
      <c r="H321" s="36" t="s">
        <v>535</v>
      </c>
      <c r="I321" s="37" t="s">
        <v>540</v>
      </c>
      <c r="J321" s="38">
        <v>214303.95</v>
      </c>
      <c r="K321" s="39">
        <v>-11.948995454342814</v>
      </c>
      <c r="L321" s="39">
        <v>-9.281231043280469</v>
      </c>
      <c r="M321" s="38" t="s">
        <v>539</v>
      </c>
      <c r="N321" s="38">
        <v>243386.15</v>
      </c>
      <c r="O321" s="38">
        <v>236228.9</v>
      </c>
      <c r="P321" s="39" t="s">
        <v>540</v>
      </c>
      <c r="Q321" s="39" t="s">
        <v>540</v>
      </c>
      <c r="R321" s="40"/>
      <c r="S321" s="38" t="s">
        <v>539</v>
      </c>
      <c r="T321" s="39" t="s">
        <v>540</v>
      </c>
      <c r="U321" s="39" t="s">
        <v>540</v>
      </c>
      <c r="V321" s="38" t="s">
        <v>539</v>
      </c>
      <c r="W321" s="38" t="s">
        <v>540</v>
      </c>
      <c r="X321" s="38" t="s">
        <v>540</v>
      </c>
      <c r="Y321" s="39" t="s">
        <v>540</v>
      </c>
      <c r="Z321" s="39" t="s">
        <v>540</v>
      </c>
      <c r="AA321" s="41" t="s">
        <v>540</v>
      </c>
      <c r="AB321" s="42" t="s">
        <v>540</v>
      </c>
      <c r="AC321" s="40"/>
      <c r="AD321" s="43">
        <v>21400.966700000001</v>
      </c>
      <c r="AE321" s="39">
        <v>12.560895586602495</v>
      </c>
      <c r="AF321" s="39">
        <v>65.15359902826161</v>
      </c>
      <c r="AG321" s="43" t="s">
        <v>539</v>
      </c>
      <c r="AH321" s="43">
        <v>19012.79</v>
      </c>
      <c r="AI321" s="43">
        <v>12958.22</v>
      </c>
      <c r="AJ321" s="39" t="s">
        <v>539</v>
      </c>
      <c r="AK321" s="39" t="s">
        <v>539</v>
      </c>
      <c r="AL321" s="44"/>
      <c r="AM321" s="43">
        <v>21400.966700000001</v>
      </c>
      <c r="AN321" s="39">
        <v>12.560895586602495</v>
      </c>
      <c r="AO321" s="39">
        <v>65.15359902826161</v>
      </c>
      <c r="AP321" s="43" t="s">
        <v>539</v>
      </c>
      <c r="AQ321" s="43">
        <v>19012.79</v>
      </c>
      <c r="AR321" s="43">
        <v>12958.22</v>
      </c>
      <c r="AS321" s="39" t="s">
        <v>539</v>
      </c>
      <c r="AT321" s="39" t="s">
        <v>539</v>
      </c>
      <c r="AU321" s="1">
        <v>532533.18143569503</v>
      </c>
    </row>
    <row r="322" spans="2:47" ht="18" customHeight="1" x14ac:dyDescent="0.25">
      <c r="B322" s="2">
        <f>IF(G322=$B$6,MAX(B$7:B321)+1,IF($B$6="Nifty 500 - All Sector",B321+1,0))</f>
        <v>0</v>
      </c>
      <c r="C322" s="36">
        <v>12068</v>
      </c>
      <c r="D322" s="36" t="s">
        <v>341</v>
      </c>
      <c r="E322" s="36" t="s">
        <v>533</v>
      </c>
      <c r="F322" s="36" t="s">
        <v>874</v>
      </c>
      <c r="G322" s="36" t="s">
        <v>2</v>
      </c>
      <c r="H322" s="36" t="s">
        <v>532</v>
      </c>
      <c r="I322" s="37" t="s">
        <v>540</v>
      </c>
      <c r="J322" s="38">
        <v>6300.3</v>
      </c>
      <c r="K322" s="39">
        <v>-11.611456854415581</v>
      </c>
      <c r="L322" s="39">
        <v>-0.41318656305916468</v>
      </c>
      <c r="M322" s="38" t="s">
        <v>539</v>
      </c>
      <c r="N322" s="38">
        <v>7127.9600000000009</v>
      </c>
      <c r="O322" s="38">
        <v>6326.4400000000005</v>
      </c>
      <c r="P322" s="39" t="s">
        <v>540</v>
      </c>
      <c r="Q322" s="39" t="s">
        <v>540</v>
      </c>
      <c r="R322" s="40"/>
      <c r="S322" s="38" t="s">
        <v>539</v>
      </c>
      <c r="T322" s="39" t="s">
        <v>540</v>
      </c>
      <c r="U322" s="39" t="s">
        <v>540</v>
      </c>
      <c r="V322" s="38" t="s">
        <v>539</v>
      </c>
      <c r="W322" s="38">
        <v>0</v>
      </c>
      <c r="X322" s="38">
        <v>0</v>
      </c>
      <c r="Y322" s="39" t="s">
        <v>540</v>
      </c>
      <c r="Z322" s="39" t="s">
        <v>540</v>
      </c>
      <c r="AA322" s="41" t="s">
        <v>540</v>
      </c>
      <c r="AB322" s="42" t="s">
        <v>540</v>
      </c>
      <c r="AC322" s="40"/>
      <c r="AD322" s="43">
        <v>5265.18</v>
      </c>
      <c r="AE322" s="39">
        <v>3.0579669012223754</v>
      </c>
      <c r="AF322" s="39">
        <v>10.535696665987881</v>
      </c>
      <c r="AG322" s="43" t="s">
        <v>540</v>
      </c>
      <c r="AH322" s="43">
        <v>5108.95</v>
      </c>
      <c r="AI322" s="43">
        <v>4763.33</v>
      </c>
      <c r="AJ322" s="39" t="s">
        <v>539</v>
      </c>
      <c r="AK322" s="39" t="s">
        <v>539</v>
      </c>
      <c r="AL322" s="44"/>
      <c r="AM322" s="43">
        <v>5265.18</v>
      </c>
      <c r="AN322" s="39">
        <v>3.0579669012223754</v>
      </c>
      <c r="AO322" s="39">
        <v>10.535696665987881</v>
      </c>
      <c r="AP322" s="43" t="s">
        <v>539</v>
      </c>
      <c r="AQ322" s="43">
        <v>5108.95</v>
      </c>
      <c r="AR322" s="43">
        <v>4763.33</v>
      </c>
      <c r="AS322" s="39" t="s">
        <v>539</v>
      </c>
      <c r="AT322" s="39" t="s">
        <v>539</v>
      </c>
      <c r="AU322" s="1">
        <v>146755.52526719999</v>
      </c>
    </row>
    <row r="323" spans="2:47" ht="18" customHeight="1" x14ac:dyDescent="0.25">
      <c r="B323" s="2">
        <f>IF(G323=$B$6,MAX(B$7:B322)+1,IF($B$6="Nifty 500 - All Sector",B322+1,0))</f>
        <v>0</v>
      </c>
      <c r="C323" s="36">
        <v>24769</v>
      </c>
      <c r="D323" s="36" t="s">
        <v>342</v>
      </c>
      <c r="E323" s="36" t="s">
        <v>533</v>
      </c>
      <c r="F323" s="36" t="s">
        <v>875</v>
      </c>
      <c r="G323" s="36" t="s">
        <v>2</v>
      </c>
      <c r="H323" s="36" t="s">
        <v>532</v>
      </c>
      <c r="I323" s="37" t="s">
        <v>540</v>
      </c>
      <c r="J323" s="38">
        <v>4384.9857142857136</v>
      </c>
      <c r="K323" s="39">
        <v>47.407211792269543</v>
      </c>
      <c r="L323" s="39">
        <v>-4.593314585135932</v>
      </c>
      <c r="M323" s="38" t="s">
        <v>539</v>
      </c>
      <c r="N323" s="38">
        <v>2974.7430000000004</v>
      </c>
      <c r="O323" s="38">
        <v>4596.0990000000002</v>
      </c>
      <c r="P323" s="39" t="s">
        <v>540</v>
      </c>
      <c r="Q323" s="39" t="s">
        <v>540</v>
      </c>
      <c r="R323" s="40"/>
      <c r="S323" s="38" t="s">
        <v>539</v>
      </c>
      <c r="T323" s="39" t="s">
        <v>540</v>
      </c>
      <c r="U323" s="39" t="s">
        <v>540</v>
      </c>
      <c r="V323" s="38" t="s">
        <v>539</v>
      </c>
      <c r="W323" s="38">
        <v>0</v>
      </c>
      <c r="X323" s="38">
        <v>0</v>
      </c>
      <c r="Y323" s="39" t="s">
        <v>540</v>
      </c>
      <c r="Z323" s="39" t="s">
        <v>540</v>
      </c>
      <c r="AA323" s="41" t="s">
        <v>540</v>
      </c>
      <c r="AB323" s="42" t="s">
        <v>540</v>
      </c>
      <c r="AC323" s="40"/>
      <c r="AD323" s="43">
        <v>2555.7332999999999</v>
      </c>
      <c r="AE323" s="39">
        <v>69.496768879374144</v>
      </c>
      <c r="AF323" s="39">
        <v>-3.7903879729952572</v>
      </c>
      <c r="AG323" s="43" t="s">
        <v>540</v>
      </c>
      <c r="AH323" s="43">
        <v>1507.836</v>
      </c>
      <c r="AI323" s="43">
        <v>2656.422</v>
      </c>
      <c r="AJ323" s="39" t="s">
        <v>539</v>
      </c>
      <c r="AK323" s="39" t="s">
        <v>539</v>
      </c>
      <c r="AL323" s="44"/>
      <c r="AM323" s="43">
        <v>2555.7332999999999</v>
      </c>
      <c r="AN323" s="39">
        <v>69.496768879374144</v>
      </c>
      <c r="AO323" s="39">
        <v>-3.7903879729952572</v>
      </c>
      <c r="AP323" s="43" t="s">
        <v>539</v>
      </c>
      <c r="AQ323" s="43">
        <v>1507.836</v>
      </c>
      <c r="AR323" s="43">
        <v>2656.422</v>
      </c>
      <c r="AS323" s="39" t="s">
        <v>539</v>
      </c>
      <c r="AT323" s="39" t="s">
        <v>539</v>
      </c>
      <c r="AU323" s="1">
        <v>144416.24018672001</v>
      </c>
    </row>
    <row r="324" spans="2:47" ht="18" customHeight="1" x14ac:dyDescent="0.25">
      <c r="B324" s="2">
        <f>IF(G324=$B$6,MAX(B$7:B323)+1,IF($B$6="Nifty 500 - All Sector",B323+1,0))</f>
        <v>0</v>
      </c>
      <c r="C324" s="36">
        <v>12854</v>
      </c>
      <c r="D324" s="36" t="s">
        <v>343</v>
      </c>
      <c r="E324" s="36" t="s">
        <v>527</v>
      </c>
      <c r="F324" s="36" t="s">
        <v>876</v>
      </c>
      <c r="G324" s="36" t="s">
        <v>2</v>
      </c>
      <c r="H324" s="36" t="s">
        <v>532</v>
      </c>
      <c r="I324" s="37" t="s">
        <v>540</v>
      </c>
      <c r="J324" s="38" t="s">
        <v>539</v>
      </c>
      <c r="K324" s="39" t="s">
        <v>540</v>
      </c>
      <c r="L324" s="39" t="s">
        <v>540</v>
      </c>
      <c r="M324" s="38" t="s">
        <v>539</v>
      </c>
      <c r="N324" s="38">
        <v>1726.8599999999997</v>
      </c>
      <c r="O324" s="38">
        <v>1849.3499999999995</v>
      </c>
      <c r="P324" s="39" t="s">
        <v>540</v>
      </c>
      <c r="Q324" s="39" t="s">
        <v>540</v>
      </c>
      <c r="R324" s="40"/>
      <c r="S324" s="38" t="s">
        <v>539</v>
      </c>
      <c r="T324" s="39" t="s">
        <v>540</v>
      </c>
      <c r="U324" s="39" t="s">
        <v>540</v>
      </c>
      <c r="V324" s="38" t="s">
        <v>539</v>
      </c>
      <c r="W324" s="38">
        <v>0</v>
      </c>
      <c r="X324" s="38">
        <v>0</v>
      </c>
      <c r="Y324" s="39" t="s">
        <v>540</v>
      </c>
      <c r="Z324" s="39" t="s">
        <v>540</v>
      </c>
      <c r="AA324" s="41" t="s">
        <v>540</v>
      </c>
      <c r="AB324" s="42" t="s">
        <v>540</v>
      </c>
      <c r="AC324" s="40"/>
      <c r="AD324" s="43" t="s">
        <v>540</v>
      </c>
      <c r="AE324" s="39" t="s">
        <v>539</v>
      </c>
      <c r="AF324" s="39" t="s">
        <v>539</v>
      </c>
      <c r="AG324" s="43" t="s">
        <v>540</v>
      </c>
      <c r="AH324" s="43">
        <v>1681.87</v>
      </c>
      <c r="AI324" s="43">
        <v>1802.19</v>
      </c>
      <c r="AJ324" s="39" t="s">
        <v>539</v>
      </c>
      <c r="AK324" s="39" t="s">
        <v>539</v>
      </c>
      <c r="AL324" s="44"/>
      <c r="AM324" s="43" t="s">
        <v>539</v>
      </c>
      <c r="AN324" s="39" t="s">
        <v>539</v>
      </c>
      <c r="AO324" s="39" t="s">
        <v>539</v>
      </c>
      <c r="AP324" s="43" t="s">
        <v>539</v>
      </c>
      <c r="AQ324" s="43">
        <v>1681.87</v>
      </c>
      <c r="AR324" s="43">
        <v>1802.19</v>
      </c>
      <c r="AS324" s="39" t="s">
        <v>539</v>
      </c>
      <c r="AT324" s="39" t="s">
        <v>539</v>
      </c>
      <c r="AU324" s="1">
        <v>132985.11705599999</v>
      </c>
    </row>
    <row r="325" spans="2:47" ht="18" customHeight="1" x14ac:dyDescent="0.25">
      <c r="B325" s="2">
        <f>IF(G325=$B$6,MAX(B$7:B324)+1,IF($B$6="Nifty 500 - All Sector",B324+1,0))</f>
        <v>0</v>
      </c>
      <c r="C325" s="36">
        <v>18075</v>
      </c>
      <c r="D325" s="36" t="s">
        <v>344</v>
      </c>
      <c r="E325" s="36" t="s">
        <v>533</v>
      </c>
      <c r="F325" s="36" t="s">
        <v>877</v>
      </c>
      <c r="G325" s="36" t="s">
        <v>2</v>
      </c>
      <c r="H325" s="36" t="s">
        <v>532</v>
      </c>
      <c r="I325" s="37" t="s">
        <v>540</v>
      </c>
      <c r="J325" s="38">
        <v>5838.375</v>
      </c>
      <c r="K325" s="39">
        <v>-8.6256223090659603</v>
      </c>
      <c r="L325" s="39">
        <v>3.0068190439224152</v>
      </c>
      <c r="M325" s="38" t="s">
        <v>539</v>
      </c>
      <c r="N325" s="38">
        <v>6389.51</v>
      </c>
      <c r="O325" s="38">
        <v>5667.9499999999989</v>
      </c>
      <c r="P325" s="39" t="s">
        <v>540</v>
      </c>
      <c r="Q325" s="39" t="s">
        <v>540</v>
      </c>
      <c r="R325" s="40"/>
      <c r="S325" s="38" t="s">
        <v>539</v>
      </c>
      <c r="T325" s="39" t="s">
        <v>540</v>
      </c>
      <c r="U325" s="39" t="s">
        <v>540</v>
      </c>
      <c r="V325" s="38" t="s">
        <v>539</v>
      </c>
      <c r="W325" s="38">
        <v>0</v>
      </c>
      <c r="X325" s="38">
        <v>0</v>
      </c>
      <c r="Y325" s="39" t="s">
        <v>540</v>
      </c>
      <c r="Z325" s="39" t="s">
        <v>540</v>
      </c>
      <c r="AA325" s="41" t="s">
        <v>540</v>
      </c>
      <c r="AB325" s="42" t="s">
        <v>540</v>
      </c>
      <c r="AC325" s="40"/>
      <c r="AD325" s="43">
        <v>4429.38</v>
      </c>
      <c r="AE325" s="39">
        <v>4.5602190642556995</v>
      </c>
      <c r="AF325" s="39">
        <v>9.5545969904132555</v>
      </c>
      <c r="AG325" s="43" t="s">
        <v>540</v>
      </c>
      <c r="AH325" s="43">
        <v>4236.2</v>
      </c>
      <c r="AI325" s="43">
        <v>4043.08</v>
      </c>
      <c r="AJ325" s="39" t="s">
        <v>539</v>
      </c>
      <c r="AK325" s="39" t="s">
        <v>539</v>
      </c>
      <c r="AL325" s="44"/>
      <c r="AM325" s="43">
        <v>4429.38</v>
      </c>
      <c r="AN325" s="39">
        <v>4.5602190642556995</v>
      </c>
      <c r="AO325" s="39">
        <v>9.5545969904132555</v>
      </c>
      <c r="AP325" s="43" t="s">
        <v>539</v>
      </c>
      <c r="AQ325" s="43">
        <v>4236.2</v>
      </c>
      <c r="AR325" s="43">
        <v>4043.08</v>
      </c>
      <c r="AS325" s="39" t="s">
        <v>539</v>
      </c>
      <c r="AT325" s="39" t="s">
        <v>539</v>
      </c>
      <c r="AU325" s="1">
        <v>92821.145999999993</v>
      </c>
    </row>
    <row r="326" spans="2:47" ht="18" customHeight="1" x14ac:dyDescent="0.25">
      <c r="B326" s="2">
        <f>IF(G326=$B$6,MAX(B$7:B325)+1,IF($B$6="Nifty 500 - All Sector",B325+1,0))</f>
        <v>0</v>
      </c>
      <c r="C326" s="36">
        <v>40903</v>
      </c>
      <c r="D326" s="36" t="s">
        <v>345</v>
      </c>
      <c r="E326" s="36" t="s">
        <v>527</v>
      </c>
      <c r="F326" s="36" t="s">
        <v>878</v>
      </c>
      <c r="G326" s="36" t="s">
        <v>2</v>
      </c>
      <c r="H326" s="36" t="s">
        <v>535</v>
      </c>
      <c r="I326" s="37" t="s">
        <v>540</v>
      </c>
      <c r="J326" s="38" t="s">
        <v>539</v>
      </c>
      <c r="K326" s="39" t="s">
        <v>540</v>
      </c>
      <c r="L326" s="39" t="s">
        <v>540</v>
      </c>
      <c r="M326" s="38" t="s">
        <v>539</v>
      </c>
      <c r="N326" s="38">
        <v>12214.04</v>
      </c>
      <c r="O326" s="38">
        <v>11952.09</v>
      </c>
      <c r="P326" s="39" t="s">
        <v>540</v>
      </c>
      <c r="Q326" s="39" t="s">
        <v>540</v>
      </c>
      <c r="R326" s="40"/>
      <c r="S326" s="38" t="s">
        <v>539</v>
      </c>
      <c r="T326" s="39" t="s">
        <v>540</v>
      </c>
      <c r="U326" s="39" t="s">
        <v>540</v>
      </c>
      <c r="V326" s="38" t="s">
        <v>539</v>
      </c>
      <c r="W326" s="38">
        <v>3794.71</v>
      </c>
      <c r="X326" s="38">
        <v>4307.42</v>
      </c>
      <c r="Y326" s="39" t="s">
        <v>540</v>
      </c>
      <c r="Z326" s="39" t="s">
        <v>540</v>
      </c>
      <c r="AA326" s="41" t="s">
        <v>540</v>
      </c>
      <c r="AB326" s="42" t="s">
        <v>540</v>
      </c>
      <c r="AC326" s="40"/>
      <c r="AD326" s="43" t="s">
        <v>540</v>
      </c>
      <c r="AE326" s="39" t="s">
        <v>539</v>
      </c>
      <c r="AF326" s="39" t="s">
        <v>539</v>
      </c>
      <c r="AG326" s="43" t="s">
        <v>539</v>
      </c>
      <c r="AH326" s="43">
        <v>691.40999999999894</v>
      </c>
      <c r="AI326" s="43">
        <v>875.88999999999896</v>
      </c>
      <c r="AJ326" s="39" t="s">
        <v>539</v>
      </c>
      <c r="AK326" s="39" t="s">
        <v>539</v>
      </c>
      <c r="AL326" s="44"/>
      <c r="AM326" s="43" t="s">
        <v>539</v>
      </c>
      <c r="AN326" s="39" t="s">
        <v>539</v>
      </c>
      <c r="AO326" s="39" t="s">
        <v>539</v>
      </c>
      <c r="AP326" s="43" t="s">
        <v>539</v>
      </c>
      <c r="AQ326" s="43">
        <v>864.6</v>
      </c>
      <c r="AR326" s="43">
        <v>945.02</v>
      </c>
      <c r="AS326" s="39" t="s">
        <v>539</v>
      </c>
      <c r="AT326" s="39" t="s">
        <v>539</v>
      </c>
      <c r="AU326" s="1">
        <v>90011.44256055</v>
      </c>
    </row>
    <row r="327" spans="2:47" ht="18" customHeight="1" x14ac:dyDescent="0.25">
      <c r="B327" s="2">
        <f>IF(G327=$B$6,MAX(B$7:B326)+1,IF($B$6="Nifty 500 - All Sector",B326+1,0))</f>
        <v>0</v>
      </c>
      <c r="C327" s="36">
        <v>5483</v>
      </c>
      <c r="D327" s="36" t="s">
        <v>346</v>
      </c>
      <c r="E327" s="36" t="s">
        <v>533</v>
      </c>
      <c r="F327" s="36" t="s">
        <v>879</v>
      </c>
      <c r="G327" s="36" t="s">
        <v>2</v>
      </c>
      <c r="H327" s="36" t="s">
        <v>535</v>
      </c>
      <c r="I327" s="37" t="s">
        <v>540</v>
      </c>
      <c r="J327" s="38" t="s">
        <v>539</v>
      </c>
      <c r="K327" s="39" t="s">
        <v>540</v>
      </c>
      <c r="L327" s="39" t="s">
        <v>540</v>
      </c>
      <c r="M327" s="38" t="s">
        <v>539</v>
      </c>
      <c r="N327" s="38">
        <v>8680.15</v>
      </c>
      <c r="O327" s="38">
        <v>9580.2800000000007</v>
      </c>
      <c r="P327" s="39" t="s">
        <v>540</v>
      </c>
      <c r="Q327" s="39" t="s">
        <v>540</v>
      </c>
      <c r="R327" s="40"/>
      <c r="S327" s="38" t="s">
        <v>539</v>
      </c>
      <c r="T327" s="39" t="s">
        <v>540</v>
      </c>
      <c r="U327" s="39" t="s">
        <v>540</v>
      </c>
      <c r="V327" s="38" t="s">
        <v>539</v>
      </c>
      <c r="W327" s="38" t="s">
        <v>540</v>
      </c>
      <c r="X327" s="38" t="s">
        <v>540</v>
      </c>
      <c r="Y327" s="39" t="s">
        <v>540</v>
      </c>
      <c r="Z327" s="39" t="s">
        <v>540</v>
      </c>
      <c r="AA327" s="41" t="s">
        <v>540</v>
      </c>
      <c r="AB327" s="42" t="s">
        <v>540</v>
      </c>
      <c r="AC327" s="40"/>
      <c r="AD327" s="43" t="s">
        <v>540</v>
      </c>
      <c r="AE327" s="39" t="s">
        <v>539</v>
      </c>
      <c r="AF327" s="39" t="s">
        <v>539</v>
      </c>
      <c r="AG327" s="43" t="s">
        <v>539</v>
      </c>
      <c r="AH327" s="43">
        <v>2182.89</v>
      </c>
      <c r="AI327" s="43">
        <v>1518.92</v>
      </c>
      <c r="AJ327" s="39" t="s">
        <v>539</v>
      </c>
      <c r="AK327" s="39" t="s">
        <v>539</v>
      </c>
      <c r="AL327" s="44"/>
      <c r="AM327" s="43" t="s">
        <v>539</v>
      </c>
      <c r="AN327" s="39" t="s">
        <v>539</v>
      </c>
      <c r="AO327" s="39" t="s">
        <v>539</v>
      </c>
      <c r="AP327" s="43" t="s">
        <v>539</v>
      </c>
      <c r="AQ327" s="43">
        <v>2182.89</v>
      </c>
      <c r="AR327" s="43">
        <v>1518.92</v>
      </c>
      <c r="AS327" s="39" t="s">
        <v>539</v>
      </c>
      <c r="AT327" s="39" t="s">
        <v>539</v>
      </c>
      <c r="AU327" s="1">
        <v>69965.471999999994</v>
      </c>
    </row>
    <row r="328" spans="2:47" ht="18" customHeight="1" x14ac:dyDescent="0.25">
      <c r="B328" s="2">
        <f>IF(G328=$B$6,MAX(B$7:B327)+1,IF($B$6="Nifty 500 - All Sector",B327+1,0))</f>
        <v>0</v>
      </c>
      <c r="C328" s="36">
        <v>20149</v>
      </c>
      <c r="D328" s="36" t="s">
        <v>347</v>
      </c>
      <c r="E328" s="36" t="s">
        <v>533</v>
      </c>
      <c r="F328" s="36" t="s">
        <v>880</v>
      </c>
      <c r="G328" s="36" t="s">
        <v>2</v>
      </c>
      <c r="H328" s="36" t="s">
        <v>535</v>
      </c>
      <c r="I328" s="37" t="s">
        <v>540</v>
      </c>
      <c r="J328" s="38">
        <v>4588.13</v>
      </c>
      <c r="K328" s="39">
        <v>-1.836134318937932</v>
      </c>
      <c r="L328" s="39">
        <v>-10.514972909507225</v>
      </c>
      <c r="M328" s="38" t="s">
        <v>539</v>
      </c>
      <c r="N328" s="38">
        <v>4673.95</v>
      </c>
      <c r="O328" s="38">
        <v>5127.26</v>
      </c>
      <c r="P328" s="39" t="s">
        <v>540</v>
      </c>
      <c r="Q328" s="39" t="s">
        <v>540</v>
      </c>
      <c r="R328" s="40"/>
      <c r="S328" s="38">
        <v>1946</v>
      </c>
      <c r="T328" s="39">
        <v>42.413793855012827</v>
      </c>
      <c r="U328" s="39">
        <v>1343.8088081523592</v>
      </c>
      <c r="V328" s="38" t="s">
        <v>539</v>
      </c>
      <c r="W328" s="38">
        <v>1354.31</v>
      </c>
      <c r="X328" s="38">
        <v>1341.9</v>
      </c>
      <c r="Y328" s="39" t="s">
        <v>540</v>
      </c>
      <c r="Z328" s="39" t="s">
        <v>540</v>
      </c>
      <c r="AA328" s="41" t="s">
        <v>540</v>
      </c>
      <c r="AB328" s="42" t="s">
        <v>540</v>
      </c>
      <c r="AC328" s="40"/>
      <c r="AD328" s="43">
        <v>606.40910000000008</v>
      </c>
      <c r="AE328" s="39">
        <v>13.521490883222921</v>
      </c>
      <c r="AF328" s="39">
        <v>8.9409851968956779</v>
      </c>
      <c r="AG328" s="43" t="s">
        <v>539</v>
      </c>
      <c r="AH328" s="43">
        <v>534.17999999999995</v>
      </c>
      <c r="AI328" s="43">
        <v>556.64</v>
      </c>
      <c r="AJ328" s="39" t="s">
        <v>539</v>
      </c>
      <c r="AK328" s="39" t="s">
        <v>539</v>
      </c>
      <c r="AL328" s="44"/>
      <c r="AM328" s="43">
        <v>606.40910000000008</v>
      </c>
      <c r="AN328" s="39">
        <v>13.521490883222921</v>
      </c>
      <c r="AO328" s="39">
        <v>8.9409851968956779</v>
      </c>
      <c r="AP328" s="43" t="s">
        <v>539</v>
      </c>
      <c r="AQ328" s="43">
        <v>534.17999999999995</v>
      </c>
      <c r="AR328" s="43">
        <v>556.64</v>
      </c>
      <c r="AS328" s="39" t="s">
        <v>539</v>
      </c>
      <c r="AT328" s="39" t="s">
        <v>539</v>
      </c>
      <c r="AU328" s="1">
        <v>65098.973170910001</v>
      </c>
    </row>
    <row r="329" spans="2:47" ht="18" customHeight="1" x14ac:dyDescent="0.25">
      <c r="B329" s="2">
        <f>IF(G329=$B$6,MAX(B$7:B328)+1,IF($B$6="Nifty 500 - All Sector",B328+1,0))</f>
        <v>0</v>
      </c>
      <c r="C329" s="36">
        <v>540</v>
      </c>
      <c r="D329" s="36" t="s">
        <v>348</v>
      </c>
      <c r="E329" s="36" t="s">
        <v>533</v>
      </c>
      <c r="F329" s="36" t="s">
        <v>881</v>
      </c>
      <c r="G329" s="36" t="s">
        <v>2</v>
      </c>
      <c r="H329" s="36" t="s">
        <v>535</v>
      </c>
      <c r="I329" s="37" t="s">
        <v>540</v>
      </c>
      <c r="J329" s="38">
        <v>1112.875</v>
      </c>
      <c r="K329" s="39">
        <v>16.856899846693384</v>
      </c>
      <c r="L329" s="39">
        <v>14.64900894218486</v>
      </c>
      <c r="M329" s="38" t="s">
        <v>539</v>
      </c>
      <c r="N329" s="38">
        <v>952.34000000000015</v>
      </c>
      <c r="O329" s="38">
        <v>970.68000000000006</v>
      </c>
      <c r="P329" s="39" t="s">
        <v>540</v>
      </c>
      <c r="Q329" s="39" t="s">
        <v>540</v>
      </c>
      <c r="R329" s="40"/>
      <c r="S329" s="38" t="s">
        <v>539</v>
      </c>
      <c r="T329" s="39" t="s">
        <v>540</v>
      </c>
      <c r="U329" s="39" t="s">
        <v>540</v>
      </c>
      <c r="V329" s="38" t="s">
        <v>539</v>
      </c>
      <c r="W329" s="38">
        <v>0</v>
      </c>
      <c r="X329" s="38">
        <v>0</v>
      </c>
      <c r="Y329" s="39" t="s">
        <v>540</v>
      </c>
      <c r="Z329" s="39" t="s">
        <v>540</v>
      </c>
      <c r="AA329" s="41" t="s">
        <v>540</v>
      </c>
      <c r="AB329" s="42" t="s">
        <v>540</v>
      </c>
      <c r="AC329" s="40"/>
      <c r="AD329" s="43">
        <v>527.47500000000002</v>
      </c>
      <c r="AE329" s="39">
        <v>-3.3663094256663917</v>
      </c>
      <c r="AF329" s="39">
        <v>30.929332042594382</v>
      </c>
      <c r="AG329" s="43" t="s">
        <v>540</v>
      </c>
      <c r="AH329" s="43">
        <v>545.85</v>
      </c>
      <c r="AI329" s="43">
        <v>402.87</v>
      </c>
      <c r="AJ329" s="39" t="s">
        <v>539</v>
      </c>
      <c r="AK329" s="39" t="s">
        <v>539</v>
      </c>
      <c r="AL329" s="44"/>
      <c r="AM329" s="43">
        <v>527.47500000000002</v>
      </c>
      <c r="AN329" s="39">
        <v>-3.3663094256663917</v>
      </c>
      <c r="AO329" s="39">
        <v>30.929332042594382</v>
      </c>
      <c r="AP329" s="43" t="s">
        <v>539</v>
      </c>
      <c r="AQ329" s="43">
        <v>545.85</v>
      </c>
      <c r="AR329" s="43">
        <v>402.87</v>
      </c>
      <c r="AS329" s="39" t="s">
        <v>539</v>
      </c>
      <c r="AT329" s="39" t="s">
        <v>539</v>
      </c>
      <c r="AU329" s="1">
        <v>54673.653986700003</v>
      </c>
    </row>
    <row r="330" spans="2:47" ht="18" customHeight="1" x14ac:dyDescent="0.25">
      <c r="B330" s="2">
        <f>IF(G330=$B$6,MAX(B$7:B329)+1,IF($B$6="Nifty 500 - All Sector",B329+1,0))</f>
        <v>0</v>
      </c>
      <c r="C330" s="36">
        <v>28011</v>
      </c>
      <c r="D330" s="36" t="s">
        <v>349</v>
      </c>
      <c r="E330" s="36" t="s">
        <v>527</v>
      </c>
      <c r="F330" s="36" t="s">
        <v>882</v>
      </c>
      <c r="G330" s="36" t="s">
        <v>2</v>
      </c>
      <c r="H330" s="36" t="s">
        <v>535</v>
      </c>
      <c r="I330" s="37" t="s">
        <v>540</v>
      </c>
      <c r="J330" s="38" t="s">
        <v>539</v>
      </c>
      <c r="K330" s="39" t="s">
        <v>540</v>
      </c>
      <c r="L330" s="39" t="s">
        <v>540</v>
      </c>
      <c r="M330" s="38" t="s">
        <v>539</v>
      </c>
      <c r="N330" s="38">
        <v>1190.26</v>
      </c>
      <c r="O330" s="38">
        <v>2111.66</v>
      </c>
      <c r="P330" s="39" t="s">
        <v>540</v>
      </c>
      <c r="Q330" s="39" t="s">
        <v>540</v>
      </c>
      <c r="R330" s="40"/>
      <c r="S330" s="38" t="s">
        <v>539</v>
      </c>
      <c r="T330" s="39" t="s">
        <v>540</v>
      </c>
      <c r="U330" s="39" t="s">
        <v>540</v>
      </c>
      <c r="V330" s="38" t="s">
        <v>539</v>
      </c>
      <c r="W330" s="38">
        <v>279.76</v>
      </c>
      <c r="X330" s="38">
        <v>1105.42</v>
      </c>
      <c r="Y330" s="39" t="s">
        <v>540</v>
      </c>
      <c r="Z330" s="39" t="s">
        <v>540</v>
      </c>
      <c r="AA330" s="41" t="s">
        <v>540</v>
      </c>
      <c r="AB330" s="42" t="s">
        <v>540</v>
      </c>
      <c r="AC330" s="40"/>
      <c r="AD330" s="43" t="s">
        <v>540</v>
      </c>
      <c r="AE330" s="39" t="s">
        <v>547</v>
      </c>
      <c r="AF330" s="39" t="s">
        <v>539</v>
      </c>
      <c r="AG330" s="43" t="s">
        <v>539</v>
      </c>
      <c r="AH330" s="43">
        <v>-63.19</v>
      </c>
      <c r="AI330" s="43">
        <v>566.16999999999996</v>
      </c>
      <c r="AJ330" s="39" t="s">
        <v>547</v>
      </c>
      <c r="AK330" s="39" t="s">
        <v>539</v>
      </c>
      <c r="AL330" s="44"/>
      <c r="AM330" s="43" t="s">
        <v>539</v>
      </c>
      <c r="AN330" s="39" t="s">
        <v>547</v>
      </c>
      <c r="AO330" s="39" t="s">
        <v>539</v>
      </c>
      <c r="AP330" s="43" t="s">
        <v>539</v>
      </c>
      <c r="AQ330" s="43">
        <v>-64.77</v>
      </c>
      <c r="AR330" s="43">
        <v>565.97</v>
      </c>
      <c r="AS330" s="39" t="s">
        <v>547</v>
      </c>
      <c r="AT330" s="39" t="s">
        <v>539</v>
      </c>
      <c r="AU330" s="1">
        <v>47589.075893039997</v>
      </c>
    </row>
    <row r="331" spans="2:47" ht="18" customHeight="1" x14ac:dyDescent="0.25">
      <c r="B331" s="2">
        <f>IF(G331=$B$6,MAX(B$7:B330)+1,IF($B$6="Nifty 500 - All Sector",B330+1,0))</f>
        <v>0</v>
      </c>
      <c r="C331" s="36">
        <v>16795</v>
      </c>
      <c r="D331" s="36" t="s">
        <v>350</v>
      </c>
      <c r="E331" s="36" t="s">
        <v>533</v>
      </c>
      <c r="F331" s="36" t="s">
        <v>883</v>
      </c>
      <c r="G331" s="36" t="s">
        <v>2</v>
      </c>
      <c r="H331" s="36" t="s">
        <v>535</v>
      </c>
      <c r="I331" s="37" t="s">
        <v>540</v>
      </c>
      <c r="J331" s="38">
        <v>1927.6</v>
      </c>
      <c r="K331" s="39">
        <v>-10.39461512358162</v>
      </c>
      <c r="L331" s="39">
        <v>-27.286993062916597</v>
      </c>
      <c r="M331" s="38" t="s">
        <v>539</v>
      </c>
      <c r="N331" s="38">
        <v>2151.21</v>
      </c>
      <c r="O331" s="38">
        <v>2650.9700000000003</v>
      </c>
      <c r="P331" s="39" t="s">
        <v>540</v>
      </c>
      <c r="Q331" s="39" t="s">
        <v>540</v>
      </c>
      <c r="R331" s="40"/>
      <c r="S331" s="38" t="s">
        <v>539</v>
      </c>
      <c r="T331" s="39" t="s">
        <v>540</v>
      </c>
      <c r="U331" s="39" t="s">
        <v>540</v>
      </c>
      <c r="V331" s="38" t="s">
        <v>539</v>
      </c>
      <c r="W331" s="38">
        <v>0</v>
      </c>
      <c r="X331" s="38">
        <v>0</v>
      </c>
      <c r="Y331" s="39" t="s">
        <v>540</v>
      </c>
      <c r="Z331" s="39" t="s">
        <v>540</v>
      </c>
      <c r="AA331" s="41" t="s">
        <v>540</v>
      </c>
      <c r="AB331" s="42" t="s">
        <v>540</v>
      </c>
      <c r="AC331" s="40"/>
      <c r="AD331" s="43">
        <v>820.67499999999995</v>
      </c>
      <c r="AE331" s="39">
        <v>45.731967184003963</v>
      </c>
      <c r="AF331" s="39">
        <v>1.2628942302946422</v>
      </c>
      <c r="AG331" s="43" t="s">
        <v>540</v>
      </c>
      <c r="AH331" s="43">
        <v>563.14</v>
      </c>
      <c r="AI331" s="43">
        <v>810.44</v>
      </c>
      <c r="AJ331" s="39" t="s">
        <v>539</v>
      </c>
      <c r="AK331" s="39" t="s">
        <v>539</v>
      </c>
      <c r="AL331" s="44"/>
      <c r="AM331" s="43">
        <v>820.67499999999995</v>
      </c>
      <c r="AN331" s="39">
        <v>45.731967184003963</v>
      </c>
      <c r="AO331" s="39">
        <v>1.2628942302946422</v>
      </c>
      <c r="AP331" s="43" t="s">
        <v>539</v>
      </c>
      <c r="AQ331" s="43">
        <v>563.14</v>
      </c>
      <c r="AR331" s="43">
        <v>810.44</v>
      </c>
      <c r="AS331" s="39" t="s">
        <v>539</v>
      </c>
      <c r="AT331" s="39" t="s">
        <v>539</v>
      </c>
      <c r="AU331" s="1">
        <v>41699.1348</v>
      </c>
    </row>
    <row r="332" spans="2:47" ht="18" customHeight="1" x14ac:dyDescent="0.25">
      <c r="B332" s="2">
        <f>IF(G332=$B$6,MAX(B$7:B331)+1,IF($B$6="Nifty 500 - All Sector",B331+1,0))</f>
        <v>0</v>
      </c>
      <c r="C332" s="36">
        <v>1814</v>
      </c>
      <c r="D332" s="36" t="s">
        <v>351</v>
      </c>
      <c r="E332" s="36" t="s">
        <v>527</v>
      </c>
      <c r="F332" s="36" t="s">
        <v>884</v>
      </c>
      <c r="G332" s="36" t="s">
        <v>2</v>
      </c>
      <c r="H332" s="36" t="s">
        <v>529</v>
      </c>
      <c r="I332" s="37" t="s">
        <v>540</v>
      </c>
      <c r="J332" s="38">
        <v>1637.85</v>
      </c>
      <c r="K332" s="39" t="s">
        <v>540</v>
      </c>
      <c r="L332" s="39">
        <v>28.832690946275498</v>
      </c>
      <c r="M332" s="38" t="s">
        <v>539</v>
      </c>
      <c r="N332" s="38" t="s">
        <v>540</v>
      </c>
      <c r="O332" s="38">
        <v>1271.2999999999997</v>
      </c>
      <c r="P332" s="39" t="s">
        <v>540</v>
      </c>
      <c r="Q332" s="39" t="s">
        <v>540</v>
      </c>
      <c r="R332" s="40"/>
      <c r="S332" s="38" t="s">
        <v>539</v>
      </c>
      <c r="T332" s="39" t="s">
        <v>540</v>
      </c>
      <c r="U332" s="39" t="s">
        <v>540</v>
      </c>
      <c r="V332" s="38" t="s">
        <v>539</v>
      </c>
      <c r="W332" s="38">
        <v>0</v>
      </c>
      <c r="X332" s="38">
        <v>0</v>
      </c>
      <c r="Y332" s="39" t="s">
        <v>540</v>
      </c>
      <c r="Z332" s="39" t="s">
        <v>540</v>
      </c>
      <c r="AA332" s="41" t="s">
        <v>540</v>
      </c>
      <c r="AB332" s="42" t="s">
        <v>540</v>
      </c>
      <c r="AC332" s="40"/>
      <c r="AD332" s="43">
        <v>487.5</v>
      </c>
      <c r="AE332" s="39" t="s">
        <v>539</v>
      </c>
      <c r="AF332" s="39">
        <v>34.609012591119949</v>
      </c>
      <c r="AG332" s="43" t="s">
        <v>540</v>
      </c>
      <c r="AH332" s="43">
        <v>0</v>
      </c>
      <c r="AI332" s="43">
        <v>362.16</v>
      </c>
      <c r="AJ332" s="39" t="s">
        <v>539</v>
      </c>
      <c r="AK332" s="39" t="s">
        <v>539</v>
      </c>
      <c r="AL332" s="44"/>
      <c r="AM332" s="43">
        <v>487.5</v>
      </c>
      <c r="AN332" s="39" t="s">
        <v>539</v>
      </c>
      <c r="AO332" s="39">
        <v>21.823225129320043</v>
      </c>
      <c r="AP332" s="43" t="s">
        <v>539</v>
      </c>
      <c r="AQ332" s="43">
        <v>0</v>
      </c>
      <c r="AR332" s="43">
        <v>400.17</v>
      </c>
      <c r="AS332" s="39" t="s">
        <v>539</v>
      </c>
      <c r="AT332" s="39" t="s">
        <v>539</v>
      </c>
      <c r="AU332" s="1">
        <v>39525.790548999998</v>
      </c>
    </row>
    <row r="333" spans="2:47" ht="18" customHeight="1" x14ac:dyDescent="0.25">
      <c r="B333" s="2">
        <f>IF(G333=$B$6,MAX(B$7:B332)+1,IF($B$6="Nifty 500 - All Sector",B332+1,0))</f>
        <v>0</v>
      </c>
      <c r="C333" s="36">
        <v>31631</v>
      </c>
      <c r="D333" s="36" t="s">
        <v>352</v>
      </c>
      <c r="E333" s="36" t="s">
        <v>527</v>
      </c>
      <c r="F333" s="36" t="s">
        <v>885</v>
      </c>
      <c r="G333" s="36" t="s">
        <v>2</v>
      </c>
      <c r="H333" s="36" t="s">
        <v>535</v>
      </c>
      <c r="I333" s="37" t="s">
        <v>540</v>
      </c>
      <c r="J333" s="38" t="s">
        <v>539</v>
      </c>
      <c r="K333" s="39" t="s">
        <v>540</v>
      </c>
      <c r="L333" s="39" t="s">
        <v>540</v>
      </c>
      <c r="M333" s="38" t="s">
        <v>539</v>
      </c>
      <c r="N333" s="38">
        <v>1451.81</v>
      </c>
      <c r="O333" s="38">
        <v>478.04</v>
      </c>
      <c r="P333" s="39" t="s">
        <v>540</v>
      </c>
      <c r="Q333" s="39" t="s">
        <v>540</v>
      </c>
      <c r="R333" s="40"/>
      <c r="S333" s="38" t="s">
        <v>539</v>
      </c>
      <c r="T333" s="39" t="s">
        <v>540</v>
      </c>
      <c r="U333" s="39" t="s">
        <v>540</v>
      </c>
      <c r="V333" s="38" t="s">
        <v>539</v>
      </c>
      <c r="W333" s="38">
        <v>1264.23</v>
      </c>
      <c r="X333" s="38">
        <v>355.47</v>
      </c>
      <c r="Y333" s="39" t="s">
        <v>540</v>
      </c>
      <c r="Z333" s="39" t="s">
        <v>540</v>
      </c>
      <c r="AA333" s="41" t="s">
        <v>540</v>
      </c>
      <c r="AB333" s="42" t="s">
        <v>540</v>
      </c>
      <c r="AC333" s="40"/>
      <c r="AD333" s="43" t="s">
        <v>540</v>
      </c>
      <c r="AE333" s="39" t="s">
        <v>539</v>
      </c>
      <c r="AF333" s="39" t="s">
        <v>539</v>
      </c>
      <c r="AG333" s="43" t="s">
        <v>539</v>
      </c>
      <c r="AH333" s="43">
        <v>1762.59</v>
      </c>
      <c r="AI333" s="43">
        <v>161.47</v>
      </c>
      <c r="AJ333" s="39" t="s">
        <v>539</v>
      </c>
      <c r="AK333" s="39" t="s">
        <v>539</v>
      </c>
      <c r="AL333" s="44"/>
      <c r="AM333" s="43" t="s">
        <v>539</v>
      </c>
      <c r="AN333" s="39" t="s">
        <v>539</v>
      </c>
      <c r="AO333" s="39" t="s">
        <v>539</v>
      </c>
      <c r="AP333" s="43" t="s">
        <v>539</v>
      </c>
      <c r="AQ333" s="43">
        <v>1762.59</v>
      </c>
      <c r="AR333" s="43">
        <v>161</v>
      </c>
      <c r="AS333" s="39" t="s">
        <v>539</v>
      </c>
      <c r="AT333" s="39" t="s">
        <v>539</v>
      </c>
      <c r="AU333" s="1">
        <v>37832.996025</v>
      </c>
    </row>
    <row r="334" spans="2:47" ht="18" customHeight="1" x14ac:dyDescent="0.25">
      <c r="B334" s="2">
        <f>IF(G334=$B$6,MAX(B$7:B333)+1,IF($B$6="Nifty 500 - All Sector",B333+1,0))</f>
        <v>0</v>
      </c>
      <c r="C334" s="36">
        <v>12197</v>
      </c>
      <c r="D334" s="36" t="s">
        <v>353</v>
      </c>
      <c r="E334" s="36" t="s">
        <v>527</v>
      </c>
      <c r="F334" s="36" t="s">
        <v>886</v>
      </c>
      <c r="G334" s="36" t="s">
        <v>2</v>
      </c>
      <c r="H334" s="36" t="s">
        <v>535</v>
      </c>
      <c r="I334" s="37" t="s">
        <v>540</v>
      </c>
      <c r="J334" s="38" t="s">
        <v>539</v>
      </c>
      <c r="K334" s="39" t="s">
        <v>540</v>
      </c>
      <c r="L334" s="39" t="s">
        <v>540</v>
      </c>
      <c r="M334" s="38" t="s">
        <v>539</v>
      </c>
      <c r="N334" s="38">
        <v>985.73999999999978</v>
      </c>
      <c r="O334" s="38">
        <v>1037.0499999999997</v>
      </c>
      <c r="P334" s="39" t="s">
        <v>540</v>
      </c>
      <c r="Q334" s="39" t="s">
        <v>540</v>
      </c>
      <c r="R334" s="40"/>
      <c r="S334" s="38" t="s">
        <v>539</v>
      </c>
      <c r="T334" s="39" t="s">
        <v>540</v>
      </c>
      <c r="U334" s="39" t="s">
        <v>540</v>
      </c>
      <c r="V334" s="38" t="s">
        <v>539</v>
      </c>
      <c r="W334" s="38">
        <v>0</v>
      </c>
      <c r="X334" s="38">
        <v>0</v>
      </c>
      <c r="Y334" s="39" t="s">
        <v>540</v>
      </c>
      <c r="Z334" s="39" t="s">
        <v>540</v>
      </c>
      <c r="AA334" s="41" t="s">
        <v>540</v>
      </c>
      <c r="AB334" s="42" t="s">
        <v>540</v>
      </c>
      <c r="AC334" s="40"/>
      <c r="AD334" s="43">
        <v>570.70000000000005</v>
      </c>
      <c r="AE334" s="39">
        <v>-21.579135405501958</v>
      </c>
      <c r="AF334" s="39">
        <v>-19.957924263674609</v>
      </c>
      <c r="AG334" s="43" t="s">
        <v>540</v>
      </c>
      <c r="AH334" s="43">
        <v>727.74</v>
      </c>
      <c r="AI334" s="43">
        <v>713</v>
      </c>
      <c r="AJ334" s="39" t="s">
        <v>539</v>
      </c>
      <c r="AK334" s="39" t="s">
        <v>539</v>
      </c>
      <c r="AL334" s="44"/>
      <c r="AM334" s="43">
        <v>570.70000000000005</v>
      </c>
      <c r="AN334" s="39">
        <v>-21.579135405501958</v>
      </c>
      <c r="AO334" s="39">
        <v>-19.957924263674609</v>
      </c>
      <c r="AP334" s="43" t="s">
        <v>539</v>
      </c>
      <c r="AQ334" s="43">
        <v>727.74</v>
      </c>
      <c r="AR334" s="43">
        <v>713</v>
      </c>
      <c r="AS334" s="39" t="s">
        <v>539</v>
      </c>
      <c r="AT334" s="39" t="s">
        <v>539</v>
      </c>
      <c r="AU334" s="1">
        <v>37946.014499999997</v>
      </c>
    </row>
    <row r="335" spans="2:47" ht="18" customHeight="1" x14ac:dyDescent="0.25">
      <c r="B335" s="2">
        <f>IF(G335=$B$6,MAX(B$7:B334)+1,IF($B$6="Nifty 500 - All Sector",B334+1,0))</f>
        <v>0</v>
      </c>
      <c r="C335" s="36">
        <v>15550</v>
      </c>
      <c r="D335" s="36" t="s">
        <v>354</v>
      </c>
      <c r="E335" s="36" t="s">
        <v>533</v>
      </c>
      <c r="F335" s="36" t="s">
        <v>887</v>
      </c>
      <c r="G335" s="36" t="s">
        <v>2</v>
      </c>
      <c r="H335" s="36" t="s">
        <v>535</v>
      </c>
      <c r="I335" s="37" t="s">
        <v>540</v>
      </c>
      <c r="J335" s="38">
        <v>757.4</v>
      </c>
      <c r="K335" s="39">
        <v>-5.3758604749946981</v>
      </c>
      <c r="L335" s="39">
        <v>-15.590277390810103</v>
      </c>
      <c r="M335" s="38" t="s">
        <v>539</v>
      </c>
      <c r="N335" s="38">
        <v>800.43000000000006</v>
      </c>
      <c r="O335" s="38">
        <v>897.29</v>
      </c>
      <c r="P335" s="39" t="s">
        <v>540</v>
      </c>
      <c r="Q335" s="39" t="s">
        <v>540</v>
      </c>
      <c r="R335" s="40"/>
      <c r="S335" s="38" t="s">
        <v>539</v>
      </c>
      <c r="T335" s="39" t="s">
        <v>540</v>
      </c>
      <c r="U335" s="39" t="s">
        <v>540</v>
      </c>
      <c r="V335" s="38" t="s">
        <v>539</v>
      </c>
      <c r="W335" s="38">
        <v>0</v>
      </c>
      <c r="X335" s="38">
        <v>0</v>
      </c>
      <c r="Y335" s="39" t="s">
        <v>540</v>
      </c>
      <c r="Z335" s="39" t="s">
        <v>540</v>
      </c>
      <c r="AA335" s="41" t="s">
        <v>540</v>
      </c>
      <c r="AB335" s="42" t="s">
        <v>540</v>
      </c>
      <c r="AC335" s="40"/>
      <c r="AD335" s="43">
        <v>501.8</v>
      </c>
      <c r="AE335" s="39">
        <v>1.9928655413670171E-3</v>
      </c>
      <c r="AF335" s="39">
        <v>-14.209023610469984</v>
      </c>
      <c r="AG335" s="43" t="s">
        <v>540</v>
      </c>
      <c r="AH335" s="43">
        <v>501.79</v>
      </c>
      <c r="AI335" s="43">
        <v>584.91</v>
      </c>
      <c r="AJ335" s="39" t="s">
        <v>539</v>
      </c>
      <c r="AK335" s="39" t="s">
        <v>539</v>
      </c>
      <c r="AL335" s="44"/>
      <c r="AM335" s="43">
        <v>501.8</v>
      </c>
      <c r="AN335" s="39">
        <v>1.9928655413670171E-3</v>
      </c>
      <c r="AO335" s="39">
        <v>-14.209023610469984</v>
      </c>
      <c r="AP335" s="43" t="s">
        <v>539</v>
      </c>
      <c r="AQ335" s="43">
        <v>501.79</v>
      </c>
      <c r="AR335" s="43">
        <v>584.91</v>
      </c>
      <c r="AS335" s="39" t="s">
        <v>539</v>
      </c>
      <c r="AT335" s="39" t="s">
        <v>539</v>
      </c>
      <c r="AU335" s="1">
        <v>35522.729383860002</v>
      </c>
    </row>
    <row r="336" spans="2:47" ht="18" customHeight="1" x14ac:dyDescent="0.25">
      <c r="B336" s="2">
        <f>IF(G336=$B$6,MAX(B$7:B335)+1,IF($B$6="Nifty 500 - All Sector",B335+1,0))</f>
        <v>0</v>
      </c>
      <c r="C336" s="36">
        <v>4248</v>
      </c>
      <c r="D336" s="36" t="s">
        <v>355</v>
      </c>
      <c r="E336" s="36" t="s">
        <v>533</v>
      </c>
      <c r="F336" s="36" t="s">
        <v>888</v>
      </c>
      <c r="G336" s="36" t="s">
        <v>2</v>
      </c>
      <c r="H336" s="36" t="s">
        <v>535</v>
      </c>
      <c r="I336" s="37" t="s">
        <v>540</v>
      </c>
      <c r="J336" s="38">
        <v>2260.0749999999998</v>
      </c>
      <c r="K336" s="39">
        <v>-3.1046220991301166</v>
      </c>
      <c r="L336" s="39">
        <v>0.67821903467939482</v>
      </c>
      <c r="M336" s="38" t="s">
        <v>539</v>
      </c>
      <c r="N336" s="38">
        <v>2332.4899999999998</v>
      </c>
      <c r="O336" s="38">
        <v>2244.8499999999995</v>
      </c>
      <c r="P336" s="39" t="s">
        <v>540</v>
      </c>
      <c r="Q336" s="39" t="s">
        <v>540</v>
      </c>
      <c r="R336" s="40"/>
      <c r="S336" s="38" t="s">
        <v>539</v>
      </c>
      <c r="T336" s="39" t="s">
        <v>540</v>
      </c>
      <c r="U336" s="39" t="s">
        <v>540</v>
      </c>
      <c r="V336" s="38" t="s">
        <v>539</v>
      </c>
      <c r="W336" s="38">
        <v>0</v>
      </c>
      <c r="X336" s="38">
        <v>0</v>
      </c>
      <c r="Y336" s="39" t="s">
        <v>540</v>
      </c>
      <c r="Z336" s="39" t="s">
        <v>540</v>
      </c>
      <c r="AA336" s="41" t="s">
        <v>540</v>
      </c>
      <c r="AB336" s="42" t="s">
        <v>540</v>
      </c>
      <c r="AC336" s="40"/>
      <c r="AD336" s="43">
        <v>1377.1833000000001</v>
      </c>
      <c r="AE336" s="39">
        <v>0.67423755080557868</v>
      </c>
      <c r="AF336" s="39">
        <v>-0.48894107446078028</v>
      </c>
      <c r="AG336" s="43" t="s">
        <v>540</v>
      </c>
      <c r="AH336" s="43">
        <v>1367.96</v>
      </c>
      <c r="AI336" s="43">
        <v>1383.95</v>
      </c>
      <c r="AJ336" s="39" t="s">
        <v>539</v>
      </c>
      <c r="AK336" s="39" t="s">
        <v>539</v>
      </c>
      <c r="AL336" s="44"/>
      <c r="AM336" s="43">
        <v>1377.1833000000001</v>
      </c>
      <c r="AN336" s="39">
        <v>0.67423755080557868</v>
      </c>
      <c r="AO336" s="39">
        <v>-0.48894107446078028</v>
      </c>
      <c r="AP336" s="43" t="s">
        <v>539</v>
      </c>
      <c r="AQ336" s="43">
        <v>1367.96</v>
      </c>
      <c r="AR336" s="43">
        <v>1383.95</v>
      </c>
      <c r="AS336" s="39" t="s">
        <v>539</v>
      </c>
      <c r="AT336" s="39" t="s">
        <v>539</v>
      </c>
      <c r="AU336" s="1">
        <v>29092.83207</v>
      </c>
    </row>
    <row r="337" spans="2:47" ht="18" customHeight="1" x14ac:dyDescent="0.25">
      <c r="B337" s="2">
        <f>IF(G337=$B$6,MAX(B$7:B336)+1,IF($B$6="Nifty 500 - All Sector",B336+1,0))</f>
        <v>0</v>
      </c>
      <c r="C337" s="36">
        <v>20665</v>
      </c>
      <c r="D337" s="36" t="s">
        <v>356</v>
      </c>
      <c r="E337" s="36" t="s">
        <v>527</v>
      </c>
      <c r="F337" s="36" t="s">
        <v>889</v>
      </c>
      <c r="G337" s="36" t="s">
        <v>2</v>
      </c>
      <c r="H337" s="36" t="s">
        <v>529</v>
      </c>
      <c r="I337" s="37" t="s">
        <v>540</v>
      </c>
      <c r="J337" s="38">
        <v>478.05</v>
      </c>
      <c r="K337" s="39">
        <v>11.475142244193638</v>
      </c>
      <c r="L337" s="39">
        <v>-6.2751004015981771E-3</v>
      </c>
      <c r="M337" s="38" t="s">
        <v>539</v>
      </c>
      <c r="N337" s="38">
        <v>428.84</v>
      </c>
      <c r="O337" s="38">
        <v>478.08</v>
      </c>
      <c r="P337" s="39" t="s">
        <v>540</v>
      </c>
      <c r="Q337" s="39" t="s">
        <v>540</v>
      </c>
      <c r="R337" s="40"/>
      <c r="S337" s="38">
        <v>280.39999999999998</v>
      </c>
      <c r="T337" s="39">
        <v>58.654952410835683</v>
      </c>
      <c r="U337" s="39">
        <v>177.3598059562481</v>
      </c>
      <c r="V337" s="38" t="s">
        <v>539</v>
      </c>
      <c r="W337" s="38">
        <v>243.93</v>
      </c>
      <c r="X337" s="38">
        <v>289.7</v>
      </c>
      <c r="Y337" s="39" t="s">
        <v>540</v>
      </c>
      <c r="Z337" s="39" t="s">
        <v>540</v>
      </c>
      <c r="AA337" s="41" t="s">
        <v>540</v>
      </c>
      <c r="AB337" s="42" t="s">
        <v>540</v>
      </c>
      <c r="AC337" s="40"/>
      <c r="AD337" s="43">
        <v>229.2167</v>
      </c>
      <c r="AE337" s="39">
        <v>0.49837776218870644</v>
      </c>
      <c r="AF337" s="39">
        <v>-14.953732561590972</v>
      </c>
      <c r="AG337" s="43" t="s">
        <v>539</v>
      </c>
      <c r="AH337" s="43">
        <v>228.08</v>
      </c>
      <c r="AI337" s="43">
        <v>269.52</v>
      </c>
      <c r="AJ337" s="39" t="s">
        <v>539</v>
      </c>
      <c r="AK337" s="39" t="s">
        <v>539</v>
      </c>
      <c r="AL337" s="44"/>
      <c r="AM337" s="43">
        <v>229.2167</v>
      </c>
      <c r="AN337" s="39">
        <v>0.49837776218870644</v>
      </c>
      <c r="AO337" s="39">
        <v>-14.953732561590972</v>
      </c>
      <c r="AP337" s="43" t="s">
        <v>539</v>
      </c>
      <c r="AQ337" s="43">
        <v>228.08</v>
      </c>
      <c r="AR337" s="43">
        <v>269.52</v>
      </c>
      <c r="AS337" s="39" t="s">
        <v>539</v>
      </c>
      <c r="AT337" s="39" t="s">
        <v>539</v>
      </c>
      <c r="AU337" s="1">
        <v>30225.012547034999</v>
      </c>
    </row>
    <row r="338" spans="2:47" ht="18" customHeight="1" x14ac:dyDescent="0.25">
      <c r="B338" s="2">
        <f>IF(G338=$B$6,MAX(B$7:B337)+1,IF($B$6="Nifty 500 - All Sector",B337+1,0))</f>
        <v>0</v>
      </c>
      <c r="C338" s="36">
        <v>20139</v>
      </c>
      <c r="D338" s="36" t="s">
        <v>357</v>
      </c>
      <c r="E338" s="36" t="s">
        <v>527</v>
      </c>
      <c r="F338" s="36" t="s">
        <v>890</v>
      </c>
      <c r="G338" s="36" t="s">
        <v>2</v>
      </c>
      <c r="H338" s="36" t="s">
        <v>529</v>
      </c>
      <c r="I338" s="37" t="s">
        <v>540</v>
      </c>
      <c r="J338" s="38">
        <v>294.98</v>
      </c>
      <c r="K338" s="39">
        <v>31.424650698602807</v>
      </c>
      <c r="L338" s="39">
        <v>-3.080284536150224</v>
      </c>
      <c r="M338" s="38" t="s">
        <v>539</v>
      </c>
      <c r="N338" s="38">
        <v>224.44800000000001</v>
      </c>
      <c r="O338" s="38">
        <v>304.35500000000002</v>
      </c>
      <c r="P338" s="39" t="s">
        <v>540</v>
      </c>
      <c r="Q338" s="39" t="s">
        <v>540</v>
      </c>
      <c r="R338" s="40"/>
      <c r="S338" s="38">
        <v>141.77500000000001</v>
      </c>
      <c r="T338" s="39">
        <v>48.062580513933142</v>
      </c>
      <c r="U338" s="39">
        <v>-66.897423371441533</v>
      </c>
      <c r="V338" s="38" t="s">
        <v>539</v>
      </c>
      <c r="W338" s="38">
        <v>109.377</v>
      </c>
      <c r="X338" s="38">
        <v>161.02500000000001</v>
      </c>
      <c r="Y338" s="39" t="s">
        <v>540</v>
      </c>
      <c r="Z338" s="39" t="s">
        <v>540</v>
      </c>
      <c r="AA338" s="41" t="s">
        <v>540</v>
      </c>
      <c r="AB338" s="42" t="s">
        <v>540</v>
      </c>
      <c r="AC338" s="40"/>
      <c r="AD338" s="43">
        <v>119.16000000000001</v>
      </c>
      <c r="AE338" s="39">
        <v>19.685418989363313</v>
      </c>
      <c r="AF338" s="39">
        <v>-11.18663774791494</v>
      </c>
      <c r="AG338" s="43" t="s">
        <v>539</v>
      </c>
      <c r="AH338" s="43">
        <v>99.561000000000007</v>
      </c>
      <c r="AI338" s="43">
        <v>134.16900000000001</v>
      </c>
      <c r="AJ338" s="39" t="s">
        <v>539</v>
      </c>
      <c r="AK338" s="39" t="s">
        <v>539</v>
      </c>
      <c r="AL338" s="44"/>
      <c r="AM338" s="43">
        <v>119.16000000000001</v>
      </c>
      <c r="AN338" s="39">
        <v>18.796482762746013</v>
      </c>
      <c r="AO338" s="39">
        <v>-10.625754723349345</v>
      </c>
      <c r="AP338" s="43" t="s">
        <v>539</v>
      </c>
      <c r="AQ338" s="43">
        <v>100.306</v>
      </c>
      <c r="AR338" s="43">
        <v>133.327</v>
      </c>
      <c r="AS338" s="39" t="s">
        <v>539</v>
      </c>
      <c r="AT338" s="39" t="s">
        <v>539</v>
      </c>
      <c r="AU338" s="1">
        <v>28001.82</v>
      </c>
    </row>
    <row r="339" spans="2:47" ht="18" customHeight="1" x14ac:dyDescent="0.25">
      <c r="B339" s="2">
        <f>IF(G339=$B$6,MAX(B$7:B338)+1,IF($B$6="Nifty 500 - All Sector",B338+1,0))</f>
        <v>0</v>
      </c>
      <c r="C339" s="36">
        <v>6083</v>
      </c>
      <c r="D339" s="36" t="s">
        <v>358</v>
      </c>
      <c r="E339" s="36" t="s">
        <v>527</v>
      </c>
      <c r="F339" s="36" t="s">
        <v>891</v>
      </c>
      <c r="G339" s="36" t="s">
        <v>2</v>
      </c>
      <c r="H339" s="36" t="s">
        <v>529</v>
      </c>
      <c r="I339" s="37" t="s">
        <v>540</v>
      </c>
      <c r="J339" s="38">
        <v>1435.925</v>
      </c>
      <c r="K339" s="39">
        <v>-1.9411342916652363</v>
      </c>
      <c r="L339" s="39">
        <v>1.9883801041244986</v>
      </c>
      <c r="M339" s="38" t="s">
        <v>539</v>
      </c>
      <c r="N339" s="38">
        <v>1464.35</v>
      </c>
      <c r="O339" s="38">
        <v>1407.9299999999998</v>
      </c>
      <c r="P339" s="39" t="s">
        <v>540</v>
      </c>
      <c r="Q339" s="39" t="s">
        <v>540</v>
      </c>
      <c r="R339" s="40"/>
      <c r="S339" s="38" t="s">
        <v>539</v>
      </c>
      <c r="T339" s="39" t="s">
        <v>540</v>
      </c>
      <c r="U339" s="39" t="s">
        <v>540</v>
      </c>
      <c r="V339" s="38" t="s">
        <v>539</v>
      </c>
      <c r="W339" s="38">
        <v>0</v>
      </c>
      <c r="X339" s="38">
        <v>0</v>
      </c>
      <c r="Y339" s="39" t="s">
        <v>540</v>
      </c>
      <c r="Z339" s="39" t="s">
        <v>540</v>
      </c>
      <c r="AA339" s="41" t="s">
        <v>540</v>
      </c>
      <c r="AB339" s="42" t="s">
        <v>540</v>
      </c>
      <c r="AC339" s="40"/>
      <c r="AD339" s="43">
        <v>334.15999999999997</v>
      </c>
      <c r="AE339" s="39" t="s">
        <v>547</v>
      </c>
      <c r="AF339" s="39">
        <v>40.085520248176401</v>
      </c>
      <c r="AG339" s="43" t="s">
        <v>540</v>
      </c>
      <c r="AH339" s="43">
        <v>-203.18</v>
      </c>
      <c r="AI339" s="43">
        <v>238.54</v>
      </c>
      <c r="AJ339" s="39" t="s">
        <v>547</v>
      </c>
      <c r="AK339" s="39" t="s">
        <v>539</v>
      </c>
      <c r="AL339" s="44"/>
      <c r="AM339" s="43">
        <v>334.15999999999997</v>
      </c>
      <c r="AN339" s="39" t="s">
        <v>547</v>
      </c>
      <c r="AO339" s="39">
        <v>38.632592100896112</v>
      </c>
      <c r="AP339" s="43" t="s">
        <v>539</v>
      </c>
      <c r="AQ339" s="43">
        <v>-191.17</v>
      </c>
      <c r="AR339" s="43">
        <v>241.04</v>
      </c>
      <c r="AS339" s="39" t="s">
        <v>547</v>
      </c>
      <c r="AT339" s="39" t="s">
        <v>539</v>
      </c>
      <c r="AU339" s="1">
        <v>22790.255078325001</v>
      </c>
    </row>
    <row r="340" spans="2:47" ht="18" customHeight="1" x14ac:dyDescent="0.25">
      <c r="B340" s="2">
        <f>IF(G340=$B$6,MAX(B$7:B339)+1,IF($B$6="Nifty 500 - All Sector",B339+1,0))</f>
        <v>0</v>
      </c>
      <c r="C340" s="36">
        <v>26648</v>
      </c>
      <c r="D340" s="36" t="s">
        <v>359</v>
      </c>
      <c r="E340" s="36" t="s">
        <v>527</v>
      </c>
      <c r="F340" s="36" t="s">
        <v>892</v>
      </c>
      <c r="G340" s="36" t="s">
        <v>2</v>
      </c>
      <c r="H340" s="36" t="s">
        <v>529</v>
      </c>
      <c r="I340" s="37" t="s">
        <v>540</v>
      </c>
      <c r="J340" s="38">
        <v>768.77499999999998</v>
      </c>
      <c r="K340" s="39">
        <v>-15.059056205597354</v>
      </c>
      <c r="L340" s="39">
        <v>-10.793232690098531</v>
      </c>
      <c r="M340" s="38" t="s">
        <v>539</v>
      </c>
      <c r="N340" s="38">
        <v>905.06999999999994</v>
      </c>
      <c r="O340" s="38">
        <v>861.79000000000008</v>
      </c>
      <c r="P340" s="39" t="s">
        <v>540</v>
      </c>
      <c r="Q340" s="39" t="s">
        <v>540</v>
      </c>
      <c r="R340" s="40"/>
      <c r="S340" s="38" t="s">
        <v>539</v>
      </c>
      <c r="T340" s="39" t="s">
        <v>540</v>
      </c>
      <c r="U340" s="39" t="s">
        <v>540</v>
      </c>
      <c r="V340" s="38" t="s">
        <v>539</v>
      </c>
      <c r="W340" s="38">
        <v>0</v>
      </c>
      <c r="X340" s="38">
        <v>0</v>
      </c>
      <c r="Y340" s="39" t="s">
        <v>540</v>
      </c>
      <c r="Z340" s="39" t="s">
        <v>540</v>
      </c>
      <c r="AA340" s="41" t="s">
        <v>540</v>
      </c>
      <c r="AB340" s="42" t="s">
        <v>540</v>
      </c>
      <c r="AC340" s="40"/>
      <c r="AD340" s="43">
        <v>235.1</v>
      </c>
      <c r="AE340" s="39">
        <v>-6.5320240130401945</v>
      </c>
      <c r="AF340" s="39">
        <v>-7.5174068683372059</v>
      </c>
      <c r="AG340" s="43" t="s">
        <v>540</v>
      </c>
      <c r="AH340" s="43">
        <v>251.53</v>
      </c>
      <c r="AI340" s="43">
        <v>254.21</v>
      </c>
      <c r="AJ340" s="39" t="s">
        <v>539</v>
      </c>
      <c r="AK340" s="39" t="s">
        <v>539</v>
      </c>
      <c r="AL340" s="44"/>
      <c r="AM340" s="43">
        <v>235.1</v>
      </c>
      <c r="AN340" s="39">
        <v>-7.9519204416428462</v>
      </c>
      <c r="AO340" s="39">
        <v>-7.3680063041765216</v>
      </c>
      <c r="AP340" s="43" t="s">
        <v>539</v>
      </c>
      <c r="AQ340" s="43">
        <v>255.41</v>
      </c>
      <c r="AR340" s="43">
        <v>253.8</v>
      </c>
      <c r="AS340" s="39" t="s">
        <v>539</v>
      </c>
      <c r="AT340" s="39" t="s">
        <v>539</v>
      </c>
      <c r="AU340" s="1">
        <v>24394.472949564999</v>
      </c>
    </row>
    <row r="341" spans="2:47" ht="18" customHeight="1" x14ac:dyDescent="0.25">
      <c r="B341" s="2">
        <f>IF(G341=$B$6,MAX(B$7:B340)+1,IF($B$6="Nifty 500 - All Sector",B340+1,0))</f>
        <v>0</v>
      </c>
      <c r="C341" s="36">
        <v>12214</v>
      </c>
      <c r="D341" s="36" t="s">
        <v>360</v>
      </c>
      <c r="E341" s="36" t="s">
        <v>533</v>
      </c>
      <c r="F341" s="36" t="s">
        <v>893</v>
      </c>
      <c r="G341" s="36" t="s">
        <v>2</v>
      </c>
      <c r="H341" s="36" t="s">
        <v>535</v>
      </c>
      <c r="I341" s="37" t="s">
        <v>540</v>
      </c>
      <c r="J341" s="38" t="s">
        <v>539</v>
      </c>
      <c r="K341" s="39" t="s">
        <v>540</v>
      </c>
      <c r="L341" s="39" t="s">
        <v>540</v>
      </c>
      <c r="M341" s="38" t="s">
        <v>539</v>
      </c>
      <c r="N341" s="38">
        <v>9306.41</v>
      </c>
      <c r="O341" s="38">
        <v>9725.34</v>
      </c>
      <c r="P341" s="39" t="s">
        <v>540</v>
      </c>
      <c r="Q341" s="39" t="s">
        <v>540</v>
      </c>
      <c r="R341" s="40"/>
      <c r="S341" s="38" t="s">
        <v>539</v>
      </c>
      <c r="T341" s="39" t="s">
        <v>540</v>
      </c>
      <c r="U341" s="39" t="s">
        <v>540</v>
      </c>
      <c r="V341" s="38" t="s">
        <v>539</v>
      </c>
      <c r="W341" s="38" t="s">
        <v>540</v>
      </c>
      <c r="X341" s="38" t="s">
        <v>540</v>
      </c>
      <c r="Y341" s="39" t="s">
        <v>540</v>
      </c>
      <c r="Z341" s="39" t="s">
        <v>540</v>
      </c>
      <c r="AA341" s="41" t="s">
        <v>540</v>
      </c>
      <c r="AB341" s="42" t="s">
        <v>540</v>
      </c>
      <c r="AC341" s="40"/>
      <c r="AD341" s="43" t="s">
        <v>540</v>
      </c>
      <c r="AE341" s="39" t="s">
        <v>539</v>
      </c>
      <c r="AF341" s="39" t="s">
        <v>539</v>
      </c>
      <c r="AG341" s="43" t="s">
        <v>539</v>
      </c>
      <c r="AH341" s="43">
        <v>346.63</v>
      </c>
      <c r="AI341" s="43">
        <v>371.58999999999901</v>
      </c>
      <c r="AJ341" s="39" t="s">
        <v>539</v>
      </c>
      <c r="AK341" s="39" t="s">
        <v>539</v>
      </c>
      <c r="AL341" s="44"/>
      <c r="AM341" s="43" t="s">
        <v>539</v>
      </c>
      <c r="AN341" s="39" t="s">
        <v>539</v>
      </c>
      <c r="AO341" s="39" t="s">
        <v>539</v>
      </c>
      <c r="AP341" s="43" t="s">
        <v>539</v>
      </c>
      <c r="AQ341" s="43">
        <v>346.63</v>
      </c>
      <c r="AR341" s="43">
        <v>371.58999999999901</v>
      </c>
      <c r="AS341" s="39" t="s">
        <v>539</v>
      </c>
      <c r="AT341" s="39" t="s">
        <v>539</v>
      </c>
      <c r="AU341" s="1">
        <v>28428</v>
      </c>
    </row>
    <row r="342" spans="2:47" ht="18" customHeight="1" x14ac:dyDescent="0.25">
      <c r="B342" s="2">
        <f>IF(G342=$B$6,MAX(B$7:B341)+1,IF($B$6="Nifty 500 - All Sector",B341+1,0))</f>
        <v>0</v>
      </c>
      <c r="C342" s="36">
        <v>14236</v>
      </c>
      <c r="D342" s="36" t="s">
        <v>361</v>
      </c>
      <c r="E342" s="36" t="s">
        <v>527</v>
      </c>
      <c r="F342" s="36" t="s">
        <v>894</v>
      </c>
      <c r="G342" s="36" t="s">
        <v>2</v>
      </c>
      <c r="H342" s="36" t="s">
        <v>529</v>
      </c>
      <c r="I342" s="37" t="s">
        <v>540</v>
      </c>
      <c r="J342" s="38">
        <v>632.43333333333328</v>
      </c>
      <c r="K342" s="39">
        <v>22.114951406320358</v>
      </c>
      <c r="L342" s="39">
        <v>6.253815180076483</v>
      </c>
      <c r="M342" s="38" t="s">
        <v>539</v>
      </c>
      <c r="N342" s="38">
        <v>517.90000000000009</v>
      </c>
      <c r="O342" s="38">
        <v>595.21</v>
      </c>
      <c r="P342" s="39" t="s">
        <v>540</v>
      </c>
      <c r="Q342" s="39" t="s">
        <v>540</v>
      </c>
      <c r="R342" s="40"/>
      <c r="S342" s="38" t="s">
        <v>539</v>
      </c>
      <c r="T342" s="39" t="s">
        <v>540</v>
      </c>
      <c r="U342" s="39" t="s">
        <v>540</v>
      </c>
      <c r="V342" s="38" t="s">
        <v>539</v>
      </c>
      <c r="W342" s="38">
        <v>0</v>
      </c>
      <c r="X342" s="38">
        <v>0</v>
      </c>
      <c r="Y342" s="39" t="s">
        <v>540</v>
      </c>
      <c r="Z342" s="39" t="s">
        <v>540</v>
      </c>
      <c r="AA342" s="41" t="s">
        <v>540</v>
      </c>
      <c r="AB342" s="42" t="s">
        <v>540</v>
      </c>
      <c r="AC342" s="40"/>
      <c r="AD342" s="43">
        <v>301.32499999999999</v>
      </c>
      <c r="AE342" s="39">
        <v>23.070168273157975</v>
      </c>
      <c r="AF342" s="39">
        <v>7.1530173180185619</v>
      </c>
      <c r="AG342" s="43" t="s">
        <v>540</v>
      </c>
      <c r="AH342" s="43">
        <v>244.84</v>
      </c>
      <c r="AI342" s="43">
        <v>281.20999999999998</v>
      </c>
      <c r="AJ342" s="39" t="s">
        <v>539</v>
      </c>
      <c r="AK342" s="39" t="s">
        <v>539</v>
      </c>
      <c r="AL342" s="44"/>
      <c r="AM342" s="43">
        <v>301.32499999999999</v>
      </c>
      <c r="AN342" s="39">
        <v>23.070168273157975</v>
      </c>
      <c r="AO342" s="39">
        <v>7.1530173180185619</v>
      </c>
      <c r="AP342" s="43" t="s">
        <v>539</v>
      </c>
      <c r="AQ342" s="43">
        <v>244.84</v>
      </c>
      <c r="AR342" s="43">
        <v>281.20999999999998</v>
      </c>
      <c r="AS342" s="39" t="s">
        <v>539</v>
      </c>
      <c r="AT342" s="39" t="s">
        <v>539</v>
      </c>
      <c r="AU342" s="1">
        <v>20959.526969549999</v>
      </c>
    </row>
    <row r="343" spans="2:47" ht="18" customHeight="1" x14ac:dyDescent="0.25">
      <c r="B343" s="2">
        <f>IF(G343=$B$6,MAX(B$7:B342)+1,IF($B$6="Nifty 500 - All Sector",B342+1,0))</f>
        <v>0</v>
      </c>
      <c r="C343" s="36">
        <v>37419</v>
      </c>
      <c r="D343" s="36" t="s">
        <v>362</v>
      </c>
      <c r="E343" s="36" t="s">
        <v>527</v>
      </c>
      <c r="F343" s="36" t="s">
        <v>895</v>
      </c>
      <c r="G343" s="36" t="s">
        <v>2</v>
      </c>
      <c r="H343" s="36" t="s">
        <v>529</v>
      </c>
      <c r="I343" s="37" t="s">
        <v>540</v>
      </c>
      <c r="J343" s="38">
        <v>1090.1399999999999</v>
      </c>
      <c r="K343" s="39">
        <v>17.364482962803439</v>
      </c>
      <c r="L343" s="39">
        <v>5.7289999709039918</v>
      </c>
      <c r="M343" s="38" t="s">
        <v>539</v>
      </c>
      <c r="N343" s="38">
        <v>928.85000000000014</v>
      </c>
      <c r="O343" s="38">
        <v>1031.0700000000002</v>
      </c>
      <c r="P343" s="39" t="s">
        <v>540</v>
      </c>
      <c r="Q343" s="39" t="s">
        <v>540</v>
      </c>
      <c r="R343" s="40"/>
      <c r="S343" s="38" t="s">
        <v>539</v>
      </c>
      <c r="T343" s="39" t="s">
        <v>540</v>
      </c>
      <c r="U343" s="39" t="s">
        <v>540</v>
      </c>
      <c r="V343" s="38" t="s">
        <v>539</v>
      </c>
      <c r="W343" s="38">
        <v>0</v>
      </c>
      <c r="X343" s="38">
        <v>0</v>
      </c>
      <c r="Y343" s="39" t="s">
        <v>540</v>
      </c>
      <c r="Z343" s="39" t="s">
        <v>540</v>
      </c>
      <c r="AA343" s="41" t="s">
        <v>540</v>
      </c>
      <c r="AB343" s="42" t="s">
        <v>540</v>
      </c>
      <c r="AC343" s="40"/>
      <c r="AD343" s="43">
        <v>312.39999999999998</v>
      </c>
      <c r="AE343" s="39">
        <v>561.72421097225026</v>
      </c>
      <c r="AF343" s="39">
        <v>23.92399539846879</v>
      </c>
      <c r="AG343" s="43" t="s">
        <v>540</v>
      </c>
      <c r="AH343" s="43">
        <v>47.2100000000001</v>
      </c>
      <c r="AI343" s="43">
        <v>252.09</v>
      </c>
      <c r="AJ343" s="39" t="s">
        <v>539</v>
      </c>
      <c r="AK343" s="39" t="s">
        <v>539</v>
      </c>
      <c r="AL343" s="44"/>
      <c r="AM343" s="43">
        <v>312.39999999999998</v>
      </c>
      <c r="AN343" s="39">
        <v>561.72421097225151</v>
      </c>
      <c r="AO343" s="39">
        <v>23.92399539846879</v>
      </c>
      <c r="AP343" s="43" t="s">
        <v>539</v>
      </c>
      <c r="AQ343" s="43">
        <v>47.21</v>
      </c>
      <c r="AR343" s="43">
        <v>252.09</v>
      </c>
      <c r="AS343" s="39" t="s">
        <v>539</v>
      </c>
      <c r="AT343" s="39" t="s">
        <v>539</v>
      </c>
      <c r="AU343" s="1">
        <v>19771.39414602</v>
      </c>
    </row>
    <row r="344" spans="2:47" ht="18" customHeight="1" x14ac:dyDescent="0.25">
      <c r="B344" s="2">
        <f>IF(G344=$B$6,MAX(B$7:B343)+1,IF($B$6="Nifty 500 - All Sector",B343+1,0))</f>
        <v>0</v>
      </c>
      <c r="C344" s="36">
        <v>23296</v>
      </c>
      <c r="D344" s="36" t="s">
        <v>363</v>
      </c>
      <c r="E344" s="36" t="s">
        <v>527</v>
      </c>
      <c r="F344" s="36" t="s">
        <v>896</v>
      </c>
      <c r="G344" s="36" t="s">
        <v>2</v>
      </c>
      <c r="H344" s="36" t="s">
        <v>529</v>
      </c>
      <c r="I344" s="37" t="s">
        <v>540</v>
      </c>
      <c r="J344" s="38">
        <v>1663</v>
      </c>
      <c r="K344" s="39">
        <v>16.957830477958758</v>
      </c>
      <c r="L344" s="39">
        <v>-16.450634030666578</v>
      </c>
      <c r="M344" s="38" t="s">
        <v>539</v>
      </c>
      <c r="N344" s="38">
        <v>1421.88</v>
      </c>
      <c r="O344" s="38">
        <v>1990.4399999999998</v>
      </c>
      <c r="P344" s="39" t="s">
        <v>540</v>
      </c>
      <c r="Q344" s="39" t="s">
        <v>540</v>
      </c>
      <c r="R344" s="40"/>
      <c r="S344" s="38" t="s">
        <v>539</v>
      </c>
      <c r="T344" s="39" t="s">
        <v>540</v>
      </c>
      <c r="U344" s="39" t="s">
        <v>540</v>
      </c>
      <c r="V344" s="38" t="s">
        <v>539</v>
      </c>
      <c r="W344" s="38">
        <v>0</v>
      </c>
      <c r="X344" s="38">
        <v>0</v>
      </c>
      <c r="Y344" s="39" t="s">
        <v>540</v>
      </c>
      <c r="Z344" s="39" t="s">
        <v>540</v>
      </c>
      <c r="AA344" s="41" t="s">
        <v>540</v>
      </c>
      <c r="AB344" s="42" t="s">
        <v>540</v>
      </c>
      <c r="AC344" s="40"/>
      <c r="AD344" s="43">
        <v>533.9</v>
      </c>
      <c r="AE344" s="39">
        <v>112.40451941438572</v>
      </c>
      <c r="AF344" s="39">
        <v>6.4924703301086906</v>
      </c>
      <c r="AG344" s="43" t="s">
        <v>540</v>
      </c>
      <c r="AH344" s="43">
        <v>251.36</v>
      </c>
      <c r="AI344" s="43">
        <v>501.35</v>
      </c>
      <c r="AJ344" s="39" t="s">
        <v>539</v>
      </c>
      <c r="AK344" s="39" t="s">
        <v>539</v>
      </c>
      <c r="AL344" s="44"/>
      <c r="AM344" s="43">
        <v>533.9</v>
      </c>
      <c r="AN344" s="39">
        <v>157.07819722650228</v>
      </c>
      <c r="AO344" s="39">
        <v>14.990307990523366</v>
      </c>
      <c r="AP344" s="43" t="s">
        <v>539</v>
      </c>
      <c r="AQ344" s="43">
        <v>207.68</v>
      </c>
      <c r="AR344" s="43">
        <v>464.3</v>
      </c>
      <c r="AS344" s="39" t="s">
        <v>539</v>
      </c>
      <c r="AT344" s="39" t="s">
        <v>539</v>
      </c>
      <c r="AU344" s="1">
        <v>19986.483577125</v>
      </c>
    </row>
    <row r="345" spans="2:47" ht="18" customHeight="1" x14ac:dyDescent="0.25">
      <c r="B345" s="2">
        <f>IF(G345=$B$6,MAX(B$7:B344)+1,IF($B$6="Nifty 500 - All Sector",B344+1,0))</f>
        <v>0</v>
      </c>
      <c r="C345" s="36">
        <v>36229</v>
      </c>
      <c r="D345" s="36" t="s">
        <v>364</v>
      </c>
      <c r="E345" s="36" t="s">
        <v>527</v>
      </c>
      <c r="F345" s="36" t="s">
        <v>897</v>
      </c>
      <c r="G345" s="36" t="s">
        <v>2</v>
      </c>
      <c r="H345" s="36" t="s">
        <v>529</v>
      </c>
      <c r="I345" s="37" t="s">
        <v>540</v>
      </c>
      <c r="J345" s="38" t="s">
        <v>539</v>
      </c>
      <c r="K345" s="39" t="s">
        <v>540</v>
      </c>
      <c r="L345" s="39" t="s">
        <v>540</v>
      </c>
      <c r="M345" s="38" t="s">
        <v>539</v>
      </c>
      <c r="N345" s="38">
        <v>2107.4299999999998</v>
      </c>
      <c r="O345" s="38">
        <v>2157.54</v>
      </c>
      <c r="P345" s="39" t="s">
        <v>540</v>
      </c>
      <c r="Q345" s="39" t="s">
        <v>540</v>
      </c>
      <c r="R345" s="40"/>
      <c r="S345" s="38" t="s">
        <v>539</v>
      </c>
      <c r="T345" s="39" t="s">
        <v>540</v>
      </c>
      <c r="U345" s="39" t="s">
        <v>540</v>
      </c>
      <c r="V345" s="38" t="s">
        <v>539</v>
      </c>
      <c r="W345" s="38">
        <v>1504.87</v>
      </c>
      <c r="X345" s="38">
        <v>1897.53</v>
      </c>
      <c r="Y345" s="39" t="s">
        <v>540</v>
      </c>
      <c r="Z345" s="39" t="s">
        <v>540</v>
      </c>
      <c r="AA345" s="41" t="s">
        <v>540</v>
      </c>
      <c r="AB345" s="42" t="s">
        <v>540</v>
      </c>
      <c r="AC345" s="40"/>
      <c r="AD345" s="43" t="s">
        <v>540</v>
      </c>
      <c r="AE345" s="39" t="s">
        <v>539</v>
      </c>
      <c r="AF345" s="39" t="s">
        <v>539</v>
      </c>
      <c r="AG345" s="43" t="s">
        <v>539</v>
      </c>
      <c r="AH345" s="43">
        <v>324.04000000000002</v>
      </c>
      <c r="AI345" s="43">
        <v>314.08</v>
      </c>
      <c r="AJ345" s="39" t="s">
        <v>539</v>
      </c>
      <c r="AK345" s="39" t="s">
        <v>539</v>
      </c>
      <c r="AL345" s="44"/>
      <c r="AM345" s="43" t="s">
        <v>539</v>
      </c>
      <c r="AN345" s="39" t="s">
        <v>539</v>
      </c>
      <c r="AO345" s="39" t="s">
        <v>539</v>
      </c>
      <c r="AP345" s="43" t="s">
        <v>539</v>
      </c>
      <c r="AQ345" s="43">
        <v>324.04000000000002</v>
      </c>
      <c r="AR345" s="43">
        <v>314.08</v>
      </c>
      <c r="AS345" s="39" t="s">
        <v>539</v>
      </c>
      <c r="AT345" s="39" t="s">
        <v>539</v>
      </c>
      <c r="AU345" s="1">
        <v>18168.73574244</v>
      </c>
    </row>
    <row r="346" spans="2:47" ht="18" customHeight="1" x14ac:dyDescent="0.25">
      <c r="B346" s="2">
        <f>IF(G346=$B$6,MAX(B$7:B345)+1,IF($B$6="Nifty 500 - All Sector",B345+1,0))</f>
        <v>0</v>
      </c>
      <c r="C346" s="36">
        <v>12727</v>
      </c>
      <c r="D346" s="36" t="s">
        <v>365</v>
      </c>
      <c r="E346" s="36" t="s">
        <v>527</v>
      </c>
      <c r="F346" s="36" t="s">
        <v>898</v>
      </c>
      <c r="G346" s="36" t="s">
        <v>2</v>
      </c>
      <c r="H346" s="36" t="s">
        <v>529</v>
      </c>
      <c r="I346" s="37" t="s">
        <v>540</v>
      </c>
      <c r="J346" s="38">
        <v>788.25</v>
      </c>
      <c r="K346" s="39">
        <v>31.546887933566548</v>
      </c>
      <c r="L346" s="39">
        <v>-8.7459122366728703E-2</v>
      </c>
      <c r="M346" s="38" t="s">
        <v>539</v>
      </c>
      <c r="N346" s="38">
        <v>599.21599999999989</v>
      </c>
      <c r="O346" s="38">
        <v>788.94</v>
      </c>
      <c r="P346" s="39" t="s">
        <v>540</v>
      </c>
      <c r="Q346" s="39" t="s">
        <v>540</v>
      </c>
      <c r="R346" s="40"/>
      <c r="S346" s="38" t="s">
        <v>539</v>
      </c>
      <c r="T346" s="39" t="s">
        <v>540</v>
      </c>
      <c r="U346" s="39" t="s">
        <v>540</v>
      </c>
      <c r="V346" s="38" t="s">
        <v>539</v>
      </c>
      <c r="W346" s="38">
        <v>0</v>
      </c>
      <c r="X346" s="38">
        <v>0</v>
      </c>
      <c r="Y346" s="39" t="s">
        <v>540</v>
      </c>
      <c r="Z346" s="39" t="s">
        <v>540</v>
      </c>
      <c r="AA346" s="41" t="s">
        <v>540</v>
      </c>
      <c r="AB346" s="42" t="s">
        <v>540</v>
      </c>
      <c r="AC346" s="40"/>
      <c r="AD346" s="43">
        <v>265.39999999999998</v>
      </c>
      <c r="AE346" s="39">
        <v>49.318390241981277</v>
      </c>
      <c r="AF346" s="39">
        <v>3.8995611476712488</v>
      </c>
      <c r="AG346" s="43" t="s">
        <v>540</v>
      </c>
      <c r="AH346" s="43">
        <v>177.74100000000001</v>
      </c>
      <c r="AI346" s="43">
        <v>255.43899999999999</v>
      </c>
      <c r="AJ346" s="39" t="s">
        <v>539</v>
      </c>
      <c r="AK346" s="39" t="s">
        <v>539</v>
      </c>
      <c r="AL346" s="44"/>
      <c r="AM346" s="43">
        <v>265.39999999999998</v>
      </c>
      <c r="AN346" s="39">
        <v>49.318390241981277</v>
      </c>
      <c r="AO346" s="39">
        <v>3.8995611476712488</v>
      </c>
      <c r="AP346" s="43" t="s">
        <v>539</v>
      </c>
      <c r="AQ346" s="43">
        <v>177.74100000000001</v>
      </c>
      <c r="AR346" s="43">
        <v>255.43899999999999</v>
      </c>
      <c r="AS346" s="39" t="s">
        <v>539</v>
      </c>
      <c r="AT346" s="39" t="s">
        <v>539</v>
      </c>
      <c r="AU346" s="1">
        <v>17872.009844150001</v>
      </c>
    </row>
    <row r="347" spans="2:47" ht="18" customHeight="1" x14ac:dyDescent="0.25">
      <c r="B347" s="2">
        <f>IF(G347=$B$6,MAX(B$7:B346)+1,IF($B$6="Nifty 500 - All Sector",B346+1,0))</f>
        <v>0</v>
      </c>
      <c r="C347" s="36">
        <v>6428</v>
      </c>
      <c r="D347" s="36" t="s">
        <v>366</v>
      </c>
      <c r="E347" s="36" t="s">
        <v>527</v>
      </c>
      <c r="F347" s="36" t="s">
        <v>899</v>
      </c>
      <c r="G347" s="36" t="s">
        <v>2</v>
      </c>
      <c r="H347" s="36" t="s">
        <v>529</v>
      </c>
      <c r="I347" s="37" t="s">
        <v>540</v>
      </c>
      <c r="J347" s="38" t="s">
        <v>539</v>
      </c>
      <c r="K347" s="39" t="s">
        <v>540</v>
      </c>
      <c r="L347" s="39" t="s">
        <v>540</v>
      </c>
      <c r="M347" s="38" t="s">
        <v>539</v>
      </c>
      <c r="N347" s="38">
        <v>253</v>
      </c>
      <c r="O347" s="38">
        <v>303.36399999999998</v>
      </c>
      <c r="P347" s="39" t="s">
        <v>540</v>
      </c>
      <c r="Q347" s="39" t="s">
        <v>540</v>
      </c>
      <c r="R347" s="40"/>
      <c r="S347" s="38" t="s">
        <v>539</v>
      </c>
      <c r="T347" s="39" t="s">
        <v>540</v>
      </c>
      <c r="U347" s="39" t="s">
        <v>540</v>
      </c>
      <c r="V347" s="38" t="s">
        <v>539</v>
      </c>
      <c r="W347" s="38">
        <v>96.251999999999995</v>
      </c>
      <c r="X347" s="38">
        <v>111.771</v>
      </c>
      <c r="Y347" s="39" t="s">
        <v>540</v>
      </c>
      <c r="Z347" s="39" t="s">
        <v>540</v>
      </c>
      <c r="AA347" s="41" t="s">
        <v>540</v>
      </c>
      <c r="AB347" s="42" t="s">
        <v>540</v>
      </c>
      <c r="AC347" s="40"/>
      <c r="AD347" s="43" t="s">
        <v>540</v>
      </c>
      <c r="AE347" s="39" t="s">
        <v>539</v>
      </c>
      <c r="AF347" s="39" t="s">
        <v>539</v>
      </c>
      <c r="AG347" s="43" t="s">
        <v>539</v>
      </c>
      <c r="AH347" s="43">
        <v>53.518000000000001</v>
      </c>
      <c r="AI347" s="43">
        <v>65.622</v>
      </c>
      <c r="AJ347" s="39" t="s">
        <v>539</v>
      </c>
      <c r="AK347" s="39" t="s">
        <v>539</v>
      </c>
      <c r="AL347" s="44"/>
      <c r="AM347" s="43" t="s">
        <v>539</v>
      </c>
      <c r="AN347" s="39" t="s">
        <v>539</v>
      </c>
      <c r="AO347" s="39" t="s">
        <v>539</v>
      </c>
      <c r="AP347" s="43" t="s">
        <v>539</v>
      </c>
      <c r="AQ347" s="43">
        <v>53.517000000000003</v>
      </c>
      <c r="AR347" s="43">
        <v>65.623000000000005</v>
      </c>
      <c r="AS347" s="39" t="s">
        <v>539</v>
      </c>
      <c r="AT347" s="39" t="s">
        <v>539</v>
      </c>
      <c r="AU347" s="1">
        <v>16041.021882499999</v>
      </c>
    </row>
    <row r="348" spans="2:47" ht="18" customHeight="1" x14ac:dyDescent="0.25">
      <c r="B348" s="2">
        <f>IF(G348=$B$6,MAX(B$7:B347)+1,IF($B$6="Nifty 500 - All Sector",B347+1,0))</f>
        <v>0</v>
      </c>
      <c r="C348" s="36">
        <v>3148</v>
      </c>
      <c r="D348" s="36" t="s">
        <v>367</v>
      </c>
      <c r="E348" s="36" t="s">
        <v>527</v>
      </c>
      <c r="F348" s="36" t="s">
        <v>900</v>
      </c>
      <c r="G348" s="36" t="s">
        <v>2</v>
      </c>
      <c r="H348" s="36" t="s">
        <v>529</v>
      </c>
      <c r="I348" s="37" t="s">
        <v>540</v>
      </c>
      <c r="J348" s="38" t="s">
        <v>539</v>
      </c>
      <c r="K348" s="39" t="s">
        <v>540</v>
      </c>
      <c r="L348" s="39" t="s">
        <v>540</v>
      </c>
      <c r="M348" s="38" t="s">
        <v>539</v>
      </c>
      <c r="N348" s="38">
        <v>413.61</v>
      </c>
      <c r="O348" s="38">
        <v>455.86</v>
      </c>
      <c r="P348" s="39" t="s">
        <v>540</v>
      </c>
      <c r="Q348" s="39" t="s">
        <v>540</v>
      </c>
      <c r="R348" s="40"/>
      <c r="S348" s="38" t="s">
        <v>539</v>
      </c>
      <c r="T348" s="39" t="s">
        <v>540</v>
      </c>
      <c r="U348" s="39" t="s">
        <v>540</v>
      </c>
      <c r="V348" s="38" t="s">
        <v>539</v>
      </c>
      <c r="W348" s="38">
        <v>493.19</v>
      </c>
      <c r="X348" s="38">
        <v>130.19</v>
      </c>
      <c r="Y348" s="39" t="s">
        <v>540</v>
      </c>
      <c r="Z348" s="39" t="s">
        <v>540</v>
      </c>
      <c r="AA348" s="41" t="s">
        <v>540</v>
      </c>
      <c r="AB348" s="42" t="s">
        <v>540</v>
      </c>
      <c r="AC348" s="40"/>
      <c r="AD348" s="43" t="s">
        <v>540</v>
      </c>
      <c r="AE348" s="39" t="s">
        <v>539</v>
      </c>
      <c r="AF348" s="39" t="s">
        <v>539</v>
      </c>
      <c r="AG348" s="43" t="s">
        <v>539</v>
      </c>
      <c r="AH348" s="43">
        <v>260.43</v>
      </c>
      <c r="AI348" s="43">
        <v>20.82</v>
      </c>
      <c r="AJ348" s="39" t="s">
        <v>539</v>
      </c>
      <c r="AK348" s="39" t="s">
        <v>539</v>
      </c>
      <c r="AL348" s="44"/>
      <c r="AM348" s="43" t="s">
        <v>539</v>
      </c>
      <c r="AN348" s="39" t="s">
        <v>539</v>
      </c>
      <c r="AO348" s="39" t="s">
        <v>547</v>
      </c>
      <c r="AP348" s="43" t="s">
        <v>539</v>
      </c>
      <c r="AQ348" s="43">
        <v>227.28</v>
      </c>
      <c r="AR348" s="43">
        <v>-15.24</v>
      </c>
      <c r="AS348" s="39" t="s">
        <v>539</v>
      </c>
      <c r="AT348" s="39" t="s">
        <v>547</v>
      </c>
      <c r="AU348" s="1">
        <v>15724.018435716</v>
      </c>
    </row>
    <row r="349" spans="2:47" ht="18" customHeight="1" x14ac:dyDescent="0.25">
      <c r="B349" s="2">
        <f>IF(G349=$B$6,MAX(B$7:B348)+1,IF($B$6="Nifty 500 - All Sector",B348+1,0))</f>
        <v>0</v>
      </c>
      <c r="C349" s="36">
        <v>30080</v>
      </c>
      <c r="D349" s="36" t="s">
        <v>368</v>
      </c>
      <c r="E349" s="36" t="s">
        <v>533</v>
      </c>
      <c r="F349" s="36" t="s">
        <v>901</v>
      </c>
      <c r="G349" s="36" t="s">
        <v>2</v>
      </c>
      <c r="H349" s="36" t="s">
        <v>529</v>
      </c>
      <c r="I349" s="37" t="s">
        <v>540</v>
      </c>
      <c r="J349" s="38">
        <v>3269.5</v>
      </c>
      <c r="K349" s="39" t="s">
        <v>540</v>
      </c>
      <c r="L349" s="39">
        <v>14.032701349070177</v>
      </c>
      <c r="M349" s="38" t="s">
        <v>539</v>
      </c>
      <c r="N349" s="38">
        <v>0</v>
      </c>
      <c r="O349" s="38">
        <v>2867.16</v>
      </c>
      <c r="P349" s="39" t="s">
        <v>540</v>
      </c>
      <c r="Q349" s="39" t="s">
        <v>540</v>
      </c>
      <c r="R349" s="40"/>
      <c r="S349" s="38" t="s">
        <v>539</v>
      </c>
      <c r="T349" s="39" t="s">
        <v>540</v>
      </c>
      <c r="U349" s="39" t="s">
        <v>540</v>
      </c>
      <c r="V349" s="38" t="s">
        <v>539</v>
      </c>
      <c r="W349" s="38" t="s">
        <v>540</v>
      </c>
      <c r="X349" s="38">
        <v>-1405.29</v>
      </c>
      <c r="Y349" s="39" t="s">
        <v>540</v>
      </c>
      <c r="Z349" s="39" t="s">
        <v>540</v>
      </c>
      <c r="AA349" s="41" t="s">
        <v>540</v>
      </c>
      <c r="AB349" s="42" t="s">
        <v>540</v>
      </c>
      <c r="AC349" s="40"/>
      <c r="AD349" s="43">
        <v>30.3</v>
      </c>
      <c r="AE349" s="39" t="s">
        <v>539</v>
      </c>
      <c r="AF349" s="39">
        <v>9.5840867992762711</v>
      </c>
      <c r="AG349" s="43" t="s">
        <v>539</v>
      </c>
      <c r="AH349" s="43">
        <v>0</v>
      </c>
      <c r="AI349" s="43">
        <v>27.650000000000102</v>
      </c>
      <c r="AJ349" s="39" t="s">
        <v>539</v>
      </c>
      <c r="AK349" s="39" t="s">
        <v>539</v>
      </c>
      <c r="AL349" s="44"/>
      <c r="AM349" s="43">
        <v>30.3</v>
      </c>
      <c r="AN349" s="39" t="s">
        <v>539</v>
      </c>
      <c r="AO349" s="39">
        <v>9.5840867992762711</v>
      </c>
      <c r="AP349" s="43" t="s">
        <v>539</v>
      </c>
      <c r="AQ349" s="43">
        <v>0</v>
      </c>
      <c r="AR349" s="43">
        <v>27.650000000000102</v>
      </c>
      <c r="AS349" s="39" t="s">
        <v>539</v>
      </c>
      <c r="AT349" s="39" t="s">
        <v>539</v>
      </c>
      <c r="AU349" s="1">
        <v>13917.5</v>
      </c>
    </row>
    <row r="350" spans="2:47" ht="18" customHeight="1" x14ac:dyDescent="0.25">
      <c r="B350" s="2">
        <f>IF(G350=$B$6,MAX(B$7:B349)+1,IF($B$6="Nifty 500 - All Sector",B349+1,0))</f>
        <v>0</v>
      </c>
      <c r="C350" s="36">
        <v>38927</v>
      </c>
      <c r="D350" s="36" t="s">
        <v>369</v>
      </c>
      <c r="E350" s="36" t="s">
        <v>527</v>
      </c>
      <c r="F350" s="36" t="s">
        <v>902</v>
      </c>
      <c r="G350" s="36" t="s">
        <v>2</v>
      </c>
      <c r="H350" s="36" t="s">
        <v>529</v>
      </c>
      <c r="I350" s="37" t="s">
        <v>540</v>
      </c>
      <c r="J350" s="38">
        <v>1869.7666666666669</v>
      </c>
      <c r="K350" s="39">
        <v>22.413394263965824</v>
      </c>
      <c r="L350" s="39">
        <v>28.632722652962507</v>
      </c>
      <c r="M350" s="38" t="s">
        <v>539</v>
      </c>
      <c r="N350" s="38">
        <v>1527.42</v>
      </c>
      <c r="O350" s="38">
        <v>1453.57</v>
      </c>
      <c r="P350" s="39" t="s">
        <v>540</v>
      </c>
      <c r="Q350" s="39" t="s">
        <v>540</v>
      </c>
      <c r="R350" s="40"/>
      <c r="S350" s="38" t="s">
        <v>539</v>
      </c>
      <c r="T350" s="39" t="s">
        <v>540</v>
      </c>
      <c r="U350" s="39" t="s">
        <v>540</v>
      </c>
      <c r="V350" s="38" t="s">
        <v>539</v>
      </c>
      <c r="W350" s="38" t="s">
        <v>540</v>
      </c>
      <c r="X350" s="38" t="s">
        <v>540</v>
      </c>
      <c r="Y350" s="39" t="s">
        <v>540</v>
      </c>
      <c r="Z350" s="39" t="s">
        <v>540</v>
      </c>
      <c r="AA350" s="41" t="s">
        <v>540</v>
      </c>
      <c r="AB350" s="42" t="s">
        <v>540</v>
      </c>
      <c r="AC350" s="40"/>
      <c r="AD350" s="43">
        <v>219.33330000000001</v>
      </c>
      <c r="AE350" s="39">
        <v>6.4311432453416195</v>
      </c>
      <c r="AF350" s="39" t="s">
        <v>547</v>
      </c>
      <c r="AG350" s="43" t="s">
        <v>539</v>
      </c>
      <c r="AH350" s="43">
        <v>206.08</v>
      </c>
      <c r="AI350" s="43">
        <v>-87.639999999999802</v>
      </c>
      <c r="AJ350" s="39" t="s">
        <v>539</v>
      </c>
      <c r="AK350" s="39" t="s">
        <v>547</v>
      </c>
      <c r="AL350" s="44"/>
      <c r="AM350" s="43">
        <v>219.33330000000001</v>
      </c>
      <c r="AN350" s="39">
        <v>6.4311432453416195</v>
      </c>
      <c r="AO350" s="39" t="s">
        <v>547</v>
      </c>
      <c r="AP350" s="43" t="s">
        <v>539</v>
      </c>
      <c r="AQ350" s="43">
        <v>206.08</v>
      </c>
      <c r="AR350" s="43">
        <v>-87.639999999999802</v>
      </c>
      <c r="AS350" s="39" t="s">
        <v>539</v>
      </c>
      <c r="AT350" s="39" t="s">
        <v>547</v>
      </c>
      <c r="AU350" s="1">
        <v>14055.451113768</v>
      </c>
    </row>
    <row r="351" spans="2:47" ht="18" customHeight="1" x14ac:dyDescent="0.25">
      <c r="B351" s="2">
        <f>IF(G351=$B$6,MAX(B$7:B350)+1,IF($B$6="Nifty 500 - All Sector",B350+1,0))</f>
        <v>0</v>
      </c>
      <c r="C351" s="36">
        <v>2113</v>
      </c>
      <c r="D351" s="36" t="s">
        <v>370</v>
      </c>
      <c r="E351" s="36" t="s">
        <v>527</v>
      </c>
      <c r="F351" s="36" t="s">
        <v>903</v>
      </c>
      <c r="G351" s="36" t="s">
        <v>2</v>
      </c>
      <c r="H351" s="36" t="s">
        <v>529</v>
      </c>
      <c r="I351" s="37" t="s">
        <v>540</v>
      </c>
      <c r="J351" s="38" t="s">
        <v>539</v>
      </c>
      <c r="K351" s="39" t="s">
        <v>540</v>
      </c>
      <c r="L351" s="39" t="s">
        <v>540</v>
      </c>
      <c r="M351" s="38" t="s">
        <v>539</v>
      </c>
      <c r="N351" s="38">
        <v>1003.9200000000001</v>
      </c>
      <c r="O351" s="38">
        <v>999.36</v>
      </c>
      <c r="P351" s="39" t="s">
        <v>540</v>
      </c>
      <c r="Q351" s="39" t="s">
        <v>540</v>
      </c>
      <c r="R351" s="40"/>
      <c r="S351" s="38" t="s">
        <v>539</v>
      </c>
      <c r="T351" s="39" t="s">
        <v>540</v>
      </c>
      <c r="U351" s="39" t="s">
        <v>540</v>
      </c>
      <c r="V351" s="38" t="s">
        <v>539</v>
      </c>
      <c r="W351" s="38">
        <v>578.04999999999995</v>
      </c>
      <c r="X351" s="38">
        <v>563.36</v>
      </c>
      <c r="Y351" s="39" t="s">
        <v>540</v>
      </c>
      <c r="Z351" s="39" t="s">
        <v>540</v>
      </c>
      <c r="AA351" s="41" t="s">
        <v>540</v>
      </c>
      <c r="AB351" s="42" t="s">
        <v>540</v>
      </c>
      <c r="AC351" s="40"/>
      <c r="AD351" s="43" t="s">
        <v>540</v>
      </c>
      <c r="AE351" s="39" t="s">
        <v>539</v>
      </c>
      <c r="AF351" s="39" t="s">
        <v>539</v>
      </c>
      <c r="AG351" s="43" t="s">
        <v>539</v>
      </c>
      <c r="AH351" s="43">
        <v>235.01</v>
      </c>
      <c r="AI351" s="43">
        <v>305.01</v>
      </c>
      <c r="AJ351" s="39" t="s">
        <v>539</v>
      </c>
      <c r="AK351" s="39" t="s">
        <v>539</v>
      </c>
      <c r="AL351" s="44"/>
      <c r="AM351" s="43" t="s">
        <v>539</v>
      </c>
      <c r="AN351" s="39" t="s">
        <v>539</v>
      </c>
      <c r="AO351" s="39" t="s">
        <v>539</v>
      </c>
      <c r="AP351" s="43" t="s">
        <v>539</v>
      </c>
      <c r="AQ351" s="43">
        <v>209.53</v>
      </c>
      <c r="AR351" s="43">
        <v>312.8</v>
      </c>
      <c r="AS351" s="39" t="s">
        <v>539</v>
      </c>
      <c r="AT351" s="39" t="s">
        <v>539</v>
      </c>
      <c r="AU351" s="1">
        <v>12925.34801028</v>
      </c>
    </row>
    <row r="352" spans="2:47" ht="18" customHeight="1" x14ac:dyDescent="0.25">
      <c r="B352" s="2">
        <f>IF(G352=$B$6,MAX(B$7:B351)+1,IF($B$6="Nifty 500 - All Sector",B351+1,0))</f>
        <v>0</v>
      </c>
      <c r="C352" s="36">
        <v>1223</v>
      </c>
      <c r="D352" s="36" t="s">
        <v>371</v>
      </c>
      <c r="E352" s="36" t="s">
        <v>533</v>
      </c>
      <c r="F352" s="36" t="s">
        <v>904</v>
      </c>
      <c r="G352" s="36" t="s">
        <v>2</v>
      </c>
      <c r="H352" s="36" t="s">
        <v>529</v>
      </c>
      <c r="I352" s="37" t="s">
        <v>540</v>
      </c>
      <c r="J352" s="38">
        <v>430.23333333333329</v>
      </c>
      <c r="K352" s="39">
        <v>18.117766350667086</v>
      </c>
      <c r="L352" s="39">
        <v>-9.7912869156702165E-2</v>
      </c>
      <c r="M352" s="38" t="s">
        <v>539</v>
      </c>
      <c r="N352" s="38">
        <v>364.24099999999999</v>
      </c>
      <c r="O352" s="38">
        <v>430.65500000000009</v>
      </c>
      <c r="P352" s="39" t="s">
        <v>540</v>
      </c>
      <c r="Q352" s="39" t="s">
        <v>540</v>
      </c>
      <c r="R352" s="40"/>
      <c r="S352" s="38" t="s">
        <v>539</v>
      </c>
      <c r="T352" s="39" t="s">
        <v>540</v>
      </c>
      <c r="U352" s="39" t="s">
        <v>540</v>
      </c>
      <c r="V352" s="38" t="s">
        <v>539</v>
      </c>
      <c r="W352" s="38">
        <v>0</v>
      </c>
      <c r="X352" s="38">
        <v>0</v>
      </c>
      <c r="Y352" s="39" t="s">
        <v>540</v>
      </c>
      <c r="Z352" s="39" t="s">
        <v>540</v>
      </c>
      <c r="AA352" s="41" t="s">
        <v>540</v>
      </c>
      <c r="AB352" s="42" t="s">
        <v>540</v>
      </c>
      <c r="AC352" s="40"/>
      <c r="AD352" s="43">
        <v>279.58000000000004</v>
      </c>
      <c r="AE352" s="39">
        <v>19.521026688953789</v>
      </c>
      <c r="AF352" s="39">
        <v>5.5903436086079727</v>
      </c>
      <c r="AG352" s="43" t="s">
        <v>540</v>
      </c>
      <c r="AH352" s="43">
        <v>233.917</v>
      </c>
      <c r="AI352" s="43">
        <v>264.77800000000002</v>
      </c>
      <c r="AJ352" s="39" t="s">
        <v>539</v>
      </c>
      <c r="AK352" s="39" t="s">
        <v>539</v>
      </c>
      <c r="AL352" s="44"/>
      <c r="AM352" s="43">
        <v>279.58000000000004</v>
      </c>
      <c r="AN352" s="39">
        <v>19.521026688953789</v>
      </c>
      <c r="AO352" s="39">
        <v>5.5903436086079727</v>
      </c>
      <c r="AP352" s="43" t="s">
        <v>539</v>
      </c>
      <c r="AQ352" s="43">
        <v>233.917</v>
      </c>
      <c r="AR352" s="43">
        <v>264.77800000000002</v>
      </c>
      <c r="AS352" s="39" t="s">
        <v>539</v>
      </c>
      <c r="AT352" s="39" t="s">
        <v>539</v>
      </c>
      <c r="AU352" s="1">
        <v>11422.626613124999</v>
      </c>
    </row>
    <row r="353" spans="2:47" ht="18" customHeight="1" x14ac:dyDescent="0.25">
      <c r="B353" s="2">
        <f>IF(G353=$B$6,MAX(B$7:B352)+1,IF($B$6="Nifty 500 - All Sector",B352+1,0))</f>
        <v>0</v>
      </c>
      <c r="C353" s="36">
        <v>6468</v>
      </c>
      <c r="D353" s="36" t="s">
        <v>372</v>
      </c>
      <c r="E353" s="36" t="s">
        <v>533</v>
      </c>
      <c r="F353" s="36" t="s">
        <v>905</v>
      </c>
      <c r="G353" s="36" t="s">
        <v>2</v>
      </c>
      <c r="H353" s="36" t="s">
        <v>529</v>
      </c>
      <c r="I353" s="37" t="s">
        <v>540</v>
      </c>
      <c r="J353" s="38">
        <v>639.125</v>
      </c>
      <c r="K353" s="39">
        <v>10.773233131184279</v>
      </c>
      <c r="L353" s="39">
        <v>2.0097903861408639</v>
      </c>
      <c r="M353" s="38" t="s">
        <v>539</v>
      </c>
      <c r="N353" s="38">
        <v>576.96699999999998</v>
      </c>
      <c r="O353" s="38">
        <v>626.53300000000002</v>
      </c>
      <c r="P353" s="39" t="s">
        <v>540</v>
      </c>
      <c r="Q353" s="39" t="s">
        <v>540</v>
      </c>
      <c r="R353" s="40"/>
      <c r="S353" s="38" t="s">
        <v>539</v>
      </c>
      <c r="T353" s="39" t="s">
        <v>540</v>
      </c>
      <c r="U353" s="39" t="s">
        <v>540</v>
      </c>
      <c r="V353" s="38" t="s">
        <v>539</v>
      </c>
      <c r="W353" s="38">
        <v>0</v>
      </c>
      <c r="X353" s="38">
        <v>0</v>
      </c>
      <c r="Y353" s="39" t="s">
        <v>540</v>
      </c>
      <c r="Z353" s="39" t="s">
        <v>540</v>
      </c>
      <c r="AA353" s="41" t="s">
        <v>540</v>
      </c>
      <c r="AB353" s="42" t="s">
        <v>540</v>
      </c>
      <c r="AC353" s="40"/>
      <c r="AD353" s="43">
        <v>273.10000000000002</v>
      </c>
      <c r="AE353" s="39">
        <v>-2.1585311240483573</v>
      </c>
      <c r="AF353" s="39">
        <v>-1.4182630699313026</v>
      </c>
      <c r="AG353" s="43" t="s">
        <v>540</v>
      </c>
      <c r="AH353" s="43">
        <v>279.125</v>
      </c>
      <c r="AI353" s="43">
        <v>277.029</v>
      </c>
      <c r="AJ353" s="39" t="s">
        <v>539</v>
      </c>
      <c r="AK353" s="39" t="s">
        <v>539</v>
      </c>
      <c r="AL353" s="44"/>
      <c r="AM353" s="43">
        <v>273.10000000000002</v>
      </c>
      <c r="AN353" s="39">
        <v>-2.1585311240483573</v>
      </c>
      <c r="AO353" s="39">
        <v>-1.4182630699313026</v>
      </c>
      <c r="AP353" s="43" t="s">
        <v>539</v>
      </c>
      <c r="AQ353" s="43">
        <v>279.125</v>
      </c>
      <c r="AR353" s="43">
        <v>277.029</v>
      </c>
      <c r="AS353" s="39" t="s">
        <v>539</v>
      </c>
      <c r="AT353" s="39" t="s">
        <v>539</v>
      </c>
      <c r="AU353" s="1">
        <v>13306.50153224</v>
      </c>
    </row>
    <row r="354" spans="2:47" ht="18" customHeight="1" x14ac:dyDescent="0.25">
      <c r="B354" s="2">
        <f>IF(G354=$B$6,MAX(B$7:B353)+1,IF($B$6="Nifty 500 - All Sector",B353+1,0))</f>
        <v>0</v>
      </c>
      <c r="C354" s="36">
        <v>71865</v>
      </c>
      <c r="D354" s="36" t="s">
        <v>373</v>
      </c>
      <c r="E354" s="36" t="s">
        <v>533</v>
      </c>
      <c r="F354" s="36" t="s">
        <v>906</v>
      </c>
      <c r="G354" s="36" t="s">
        <v>2</v>
      </c>
      <c r="H354" s="36" t="s">
        <v>529</v>
      </c>
      <c r="I354" s="37" t="s">
        <v>540</v>
      </c>
      <c r="J354" s="38">
        <v>302.62727272727273</v>
      </c>
      <c r="K354" s="39">
        <v>34.885283285837751</v>
      </c>
      <c r="L354" s="39">
        <v>5.0245785087828621</v>
      </c>
      <c r="M354" s="38" t="s">
        <v>539</v>
      </c>
      <c r="N354" s="38">
        <v>224.35900000000001</v>
      </c>
      <c r="O354" s="38">
        <v>288.149</v>
      </c>
      <c r="P354" s="39" t="s">
        <v>540</v>
      </c>
      <c r="Q354" s="39" t="s">
        <v>540</v>
      </c>
      <c r="R354" s="40"/>
      <c r="S354" s="38" t="s">
        <v>539</v>
      </c>
      <c r="T354" s="39" t="s">
        <v>540</v>
      </c>
      <c r="U354" s="39" t="s">
        <v>540</v>
      </c>
      <c r="V354" s="38" t="s">
        <v>539</v>
      </c>
      <c r="W354" s="38">
        <v>0</v>
      </c>
      <c r="X354" s="38">
        <v>0</v>
      </c>
      <c r="Y354" s="39" t="s">
        <v>540</v>
      </c>
      <c r="Z354" s="39" t="s">
        <v>540</v>
      </c>
      <c r="AA354" s="41" t="s">
        <v>540</v>
      </c>
      <c r="AB354" s="42" t="s">
        <v>540</v>
      </c>
      <c r="AC354" s="40"/>
      <c r="AD354" s="43">
        <v>144.82</v>
      </c>
      <c r="AE354" s="39">
        <v>38.32957628090017</v>
      </c>
      <c r="AF354" s="39">
        <v>3.2952924393723215</v>
      </c>
      <c r="AG354" s="43" t="s">
        <v>540</v>
      </c>
      <c r="AH354" s="43">
        <v>104.69199999999999</v>
      </c>
      <c r="AI354" s="43">
        <v>140.19999999999999</v>
      </c>
      <c r="AJ354" s="39" t="s">
        <v>539</v>
      </c>
      <c r="AK354" s="39" t="s">
        <v>539</v>
      </c>
      <c r="AL354" s="44"/>
      <c r="AM354" s="43">
        <v>144.82</v>
      </c>
      <c r="AN354" s="39">
        <v>38.32957628090017</v>
      </c>
      <c r="AO354" s="39">
        <v>3.2952924393723215</v>
      </c>
      <c r="AP354" s="43" t="s">
        <v>539</v>
      </c>
      <c r="AQ354" s="43">
        <v>104.69199999999999</v>
      </c>
      <c r="AR354" s="43">
        <v>140.19999999999999</v>
      </c>
      <c r="AS354" s="39" t="s">
        <v>539</v>
      </c>
      <c r="AT354" s="39" t="s">
        <v>539</v>
      </c>
      <c r="AU354" s="1">
        <v>11372.797133169999</v>
      </c>
    </row>
    <row r="355" spans="2:47" ht="18" customHeight="1" x14ac:dyDescent="0.25">
      <c r="B355" s="2">
        <f>IF(G355=$B$6,MAX(B$7:B354)+1,IF($B$6="Nifty 500 - All Sector",B354+1,0))</f>
        <v>0</v>
      </c>
      <c r="C355" s="36">
        <v>45828</v>
      </c>
      <c r="D355" s="36" t="s">
        <v>374</v>
      </c>
      <c r="E355" s="36" t="s">
        <v>533</v>
      </c>
      <c r="F355" s="36" t="s">
        <v>907</v>
      </c>
      <c r="G355" s="36" t="s">
        <v>2</v>
      </c>
      <c r="H355" s="36" t="s">
        <v>529</v>
      </c>
      <c r="I355" s="37" t="s">
        <v>540</v>
      </c>
      <c r="J355" s="38">
        <v>431.55</v>
      </c>
      <c r="K355" s="39">
        <v>16.172016959418546</v>
      </c>
      <c r="L355" s="39">
        <v>7.9649648622886815</v>
      </c>
      <c r="M355" s="38" t="s">
        <v>539</v>
      </c>
      <c r="N355" s="38">
        <v>371.47499999999997</v>
      </c>
      <c r="O355" s="38">
        <v>399.71300000000002</v>
      </c>
      <c r="P355" s="39" t="s">
        <v>540</v>
      </c>
      <c r="Q355" s="39" t="s">
        <v>540</v>
      </c>
      <c r="R355" s="40"/>
      <c r="S355" s="38" t="s">
        <v>539</v>
      </c>
      <c r="T355" s="39" t="s">
        <v>540</v>
      </c>
      <c r="U355" s="39" t="s">
        <v>540</v>
      </c>
      <c r="V355" s="38" t="s">
        <v>539</v>
      </c>
      <c r="W355" s="38">
        <v>0</v>
      </c>
      <c r="X355" s="38">
        <v>0</v>
      </c>
      <c r="Y355" s="39" t="s">
        <v>540</v>
      </c>
      <c r="Z355" s="39" t="s">
        <v>540</v>
      </c>
      <c r="AA355" s="41" t="s">
        <v>540</v>
      </c>
      <c r="AB355" s="42" t="s">
        <v>540</v>
      </c>
      <c r="AC355" s="40"/>
      <c r="AD355" s="43">
        <v>179.98179999999999</v>
      </c>
      <c r="AE355" s="39">
        <v>17.116177982534907</v>
      </c>
      <c r="AF355" s="39">
        <v>5.8442520759332872</v>
      </c>
      <c r="AG355" s="43" t="s">
        <v>540</v>
      </c>
      <c r="AH355" s="43">
        <v>153.678</v>
      </c>
      <c r="AI355" s="43">
        <v>170.04400000000001</v>
      </c>
      <c r="AJ355" s="39" t="s">
        <v>539</v>
      </c>
      <c r="AK355" s="39" t="s">
        <v>539</v>
      </c>
      <c r="AL355" s="44"/>
      <c r="AM355" s="43">
        <v>179.98179999999999</v>
      </c>
      <c r="AN355" s="39">
        <v>17.116177982534907</v>
      </c>
      <c r="AO355" s="39">
        <v>5.8442520759332872</v>
      </c>
      <c r="AP355" s="43" t="s">
        <v>539</v>
      </c>
      <c r="AQ355" s="43">
        <v>153.678</v>
      </c>
      <c r="AR355" s="43">
        <v>170.04400000000001</v>
      </c>
      <c r="AS355" s="39" t="s">
        <v>539</v>
      </c>
      <c r="AT355" s="39" t="s">
        <v>539</v>
      </c>
      <c r="AU355" s="1">
        <v>10252.447911044999</v>
      </c>
    </row>
    <row r="356" spans="2:47" ht="18" customHeight="1" x14ac:dyDescent="0.25">
      <c r="B356" s="2">
        <f>IF(G356=$B$6,MAX(B$7:B355)+1,IF($B$6="Nifty 500 - All Sector",B355+1,0))</f>
        <v>0</v>
      </c>
      <c r="C356" s="36">
        <v>4325</v>
      </c>
      <c r="D356" s="36" t="s">
        <v>375</v>
      </c>
      <c r="E356" s="36" t="s">
        <v>527</v>
      </c>
      <c r="F356" s="36" t="s">
        <v>908</v>
      </c>
      <c r="G356" s="36" t="s">
        <v>616</v>
      </c>
      <c r="H356" s="36" t="s">
        <v>532</v>
      </c>
      <c r="I356" s="37" t="s">
        <v>540</v>
      </c>
      <c r="J356" s="38">
        <v>14313.960000000001</v>
      </c>
      <c r="K356" s="39">
        <v>10.457108815295202</v>
      </c>
      <c r="L356" s="39">
        <v>-7.7740851800259358</v>
      </c>
      <c r="M356" s="38" t="s">
        <v>539</v>
      </c>
      <c r="N356" s="38">
        <v>12958.84</v>
      </c>
      <c r="O356" s="38">
        <v>15520.539999999999</v>
      </c>
      <c r="P356" s="39" t="s">
        <v>540</v>
      </c>
      <c r="Q356" s="39" t="s">
        <v>540</v>
      </c>
      <c r="R356" s="40"/>
      <c r="S356" s="38">
        <v>3826.4692307692303</v>
      </c>
      <c r="T356" s="39">
        <v>26.732429256259131</v>
      </c>
      <c r="U356" s="39">
        <v>30.375199810948317</v>
      </c>
      <c r="V356" s="38" t="s">
        <v>539</v>
      </c>
      <c r="W356" s="38">
        <v>3424.85</v>
      </c>
      <c r="X356" s="38">
        <v>4794.57</v>
      </c>
      <c r="Y356" s="39" t="s">
        <v>540</v>
      </c>
      <c r="Z356" s="39" t="s">
        <v>540</v>
      </c>
      <c r="AA356" s="41" t="s">
        <v>540</v>
      </c>
      <c r="AB356" s="42" t="s">
        <v>540</v>
      </c>
      <c r="AC356" s="40"/>
      <c r="AD356" s="43">
        <v>2773.2889</v>
      </c>
      <c r="AE356" s="39">
        <v>28.35497352636256</v>
      </c>
      <c r="AF356" s="39">
        <v>-18.458820554586918</v>
      </c>
      <c r="AG356" s="43" t="s">
        <v>539</v>
      </c>
      <c r="AH356" s="43">
        <v>2160.64</v>
      </c>
      <c r="AI356" s="43">
        <v>3401.09</v>
      </c>
      <c r="AJ356" s="39" t="s">
        <v>539</v>
      </c>
      <c r="AK356" s="39" t="s">
        <v>539</v>
      </c>
      <c r="AL356" s="44"/>
      <c r="AM356" s="43">
        <v>2773.2889</v>
      </c>
      <c r="AN356" s="39">
        <v>28.997381249186006</v>
      </c>
      <c r="AO356" s="39">
        <v>-17.677491458408156</v>
      </c>
      <c r="AP356" s="43" t="s">
        <v>539</v>
      </c>
      <c r="AQ356" s="43">
        <v>2149.88</v>
      </c>
      <c r="AR356" s="43">
        <v>3368.81</v>
      </c>
      <c r="AS356" s="39" t="s">
        <v>539</v>
      </c>
      <c r="AT356" s="39" t="s">
        <v>539</v>
      </c>
      <c r="AU356" s="1">
        <v>407083.16768504999</v>
      </c>
    </row>
    <row r="357" spans="2:47" ht="18" customHeight="1" x14ac:dyDescent="0.25">
      <c r="B357" s="2">
        <f>IF(G357=$B$6,MAX(B$7:B356)+1,IF($B$6="Nifty 500 - All Sector",B356+1,0))</f>
        <v>0</v>
      </c>
      <c r="C357" s="36">
        <v>21188</v>
      </c>
      <c r="D357" s="36" t="s">
        <v>376</v>
      </c>
      <c r="E357" s="36" t="s">
        <v>527</v>
      </c>
      <c r="F357" s="36" t="s">
        <v>909</v>
      </c>
      <c r="G357" s="36" t="s">
        <v>616</v>
      </c>
      <c r="H357" s="36" t="s">
        <v>532</v>
      </c>
      <c r="I357" s="37" t="s">
        <v>540</v>
      </c>
      <c r="J357" s="38">
        <v>2859.8166666666666</v>
      </c>
      <c r="K357" s="39">
        <v>10.63120567375886</v>
      </c>
      <c r="L357" s="39">
        <v>9.8239887352790554</v>
      </c>
      <c r="M357" s="38" t="s">
        <v>539</v>
      </c>
      <c r="N357" s="38">
        <v>2585</v>
      </c>
      <c r="O357" s="38">
        <v>2604</v>
      </c>
      <c r="P357" s="39" t="s">
        <v>540</v>
      </c>
      <c r="Q357" s="39" t="s">
        <v>540</v>
      </c>
      <c r="R357" s="40"/>
      <c r="S357" s="38">
        <v>955.25</v>
      </c>
      <c r="T357" s="39">
        <v>33.402490835659634</v>
      </c>
      <c r="U357" s="39">
        <v>-87.217067304442963</v>
      </c>
      <c r="V357" s="38" t="s">
        <v>539</v>
      </c>
      <c r="W357" s="38">
        <v>886</v>
      </c>
      <c r="X357" s="38">
        <v>890</v>
      </c>
      <c r="Y357" s="39" t="s">
        <v>540</v>
      </c>
      <c r="Z357" s="39" t="s">
        <v>540</v>
      </c>
      <c r="AA357" s="41" t="s">
        <v>540</v>
      </c>
      <c r="AB357" s="42" t="s">
        <v>540</v>
      </c>
      <c r="AC357" s="40"/>
      <c r="AD357" s="43">
        <v>695.6182</v>
      </c>
      <c r="AE357" s="39">
        <v>5.078277945619325</v>
      </c>
      <c r="AF357" s="39">
        <v>19.317015437392794</v>
      </c>
      <c r="AG357" s="43" t="s">
        <v>539</v>
      </c>
      <c r="AH357" s="43">
        <v>662</v>
      </c>
      <c r="AI357" s="43">
        <v>583</v>
      </c>
      <c r="AJ357" s="39" t="s">
        <v>539</v>
      </c>
      <c r="AK357" s="39" t="s">
        <v>539</v>
      </c>
      <c r="AL357" s="44"/>
      <c r="AM357" s="43">
        <v>695.6182</v>
      </c>
      <c r="AN357" s="39">
        <v>5.078277945619325</v>
      </c>
      <c r="AO357" s="39">
        <v>19.317015437392794</v>
      </c>
      <c r="AP357" s="43" t="s">
        <v>539</v>
      </c>
      <c r="AQ357" s="43">
        <v>662</v>
      </c>
      <c r="AR357" s="43">
        <v>583</v>
      </c>
      <c r="AS357" s="39" t="s">
        <v>539</v>
      </c>
      <c r="AT357" s="39" t="s">
        <v>539</v>
      </c>
      <c r="AU357" s="1">
        <v>163970.65046569999</v>
      </c>
    </row>
    <row r="358" spans="2:47" ht="18" customHeight="1" x14ac:dyDescent="0.25">
      <c r="B358" s="2">
        <f>IF(G358=$B$6,MAX(B$7:B357)+1,IF($B$6="Nifty 500 - All Sector",B357+1,0))</f>
        <v>0</v>
      </c>
      <c r="C358" s="36">
        <v>3616</v>
      </c>
      <c r="D358" s="36" t="s">
        <v>377</v>
      </c>
      <c r="E358" s="36" t="s">
        <v>527</v>
      </c>
      <c r="F358" s="36" t="s">
        <v>910</v>
      </c>
      <c r="G358" s="36" t="s">
        <v>616</v>
      </c>
      <c r="H358" s="36" t="s">
        <v>532</v>
      </c>
      <c r="I358" s="37" t="s">
        <v>540</v>
      </c>
      <c r="J358" s="38">
        <v>3675.2400000000002</v>
      </c>
      <c r="K358" s="39">
        <v>24.205474822575201</v>
      </c>
      <c r="L358" s="39">
        <v>11.269754768392382</v>
      </c>
      <c r="M358" s="38" t="s">
        <v>539</v>
      </c>
      <c r="N358" s="38">
        <v>2959</v>
      </c>
      <c r="O358" s="38">
        <v>3303</v>
      </c>
      <c r="P358" s="39" t="s">
        <v>540</v>
      </c>
      <c r="Q358" s="39" t="s">
        <v>540</v>
      </c>
      <c r="R358" s="40"/>
      <c r="S358" s="38">
        <v>1169.4714285714285</v>
      </c>
      <c r="T358" s="39">
        <v>31.82027373916883</v>
      </c>
      <c r="U358" s="39">
        <v>-75.830010334553677</v>
      </c>
      <c r="V358" s="38" t="s">
        <v>539</v>
      </c>
      <c r="W358" s="38">
        <v>964</v>
      </c>
      <c r="X358" s="38">
        <v>1088</v>
      </c>
      <c r="Y358" s="39" t="s">
        <v>540</v>
      </c>
      <c r="Z358" s="39" t="s">
        <v>540</v>
      </c>
      <c r="AA358" s="41" t="s">
        <v>540</v>
      </c>
      <c r="AB358" s="42" t="s">
        <v>540</v>
      </c>
      <c r="AC358" s="40"/>
      <c r="AD358" s="43">
        <v>608.39329999999995</v>
      </c>
      <c r="AE358" s="39">
        <v>22.167329317269058</v>
      </c>
      <c r="AF358" s="39">
        <v>-4.1900314960629963</v>
      </c>
      <c r="AG358" s="43" t="s">
        <v>539</v>
      </c>
      <c r="AH358" s="43">
        <v>498</v>
      </c>
      <c r="AI358" s="43">
        <v>635</v>
      </c>
      <c r="AJ358" s="39" t="s">
        <v>539</v>
      </c>
      <c r="AK358" s="39" t="s">
        <v>539</v>
      </c>
      <c r="AL358" s="44"/>
      <c r="AM358" s="43">
        <v>608.39329999999995</v>
      </c>
      <c r="AN358" s="39">
        <v>22.167329317269058</v>
      </c>
      <c r="AO358" s="39">
        <v>-4.1900314960629963</v>
      </c>
      <c r="AP358" s="43" t="s">
        <v>539</v>
      </c>
      <c r="AQ358" s="43">
        <v>498</v>
      </c>
      <c r="AR358" s="43">
        <v>635</v>
      </c>
      <c r="AS358" s="39" t="s">
        <v>539</v>
      </c>
      <c r="AT358" s="39" t="s">
        <v>539</v>
      </c>
      <c r="AU358" s="1">
        <v>140659.61709119999</v>
      </c>
    </row>
    <row r="359" spans="2:47" ht="18" customHeight="1" x14ac:dyDescent="0.25">
      <c r="B359" s="2">
        <f>IF(G359=$B$6,MAX(B$7:B358)+1,IF($B$6="Nifty 500 - All Sector",B358+1,0))</f>
        <v>0</v>
      </c>
      <c r="C359" s="36">
        <v>636</v>
      </c>
      <c r="D359" s="36" t="s">
        <v>378</v>
      </c>
      <c r="E359" s="36" t="s">
        <v>527</v>
      </c>
      <c r="F359" s="36" t="s">
        <v>911</v>
      </c>
      <c r="G359" s="36" t="s">
        <v>616</v>
      </c>
      <c r="H359" s="36" t="s">
        <v>532</v>
      </c>
      <c r="I359" s="37" t="s">
        <v>540</v>
      </c>
      <c r="J359" s="38">
        <v>6501.9375</v>
      </c>
      <c r="K359" s="39">
        <v>16.267971460248209</v>
      </c>
      <c r="L359" s="39">
        <v>0.37881711797944639</v>
      </c>
      <c r="M359" s="38" t="s">
        <v>539</v>
      </c>
      <c r="N359" s="38">
        <v>5592.2</v>
      </c>
      <c r="O359" s="38">
        <v>6477.4</v>
      </c>
      <c r="P359" s="39" t="s">
        <v>540</v>
      </c>
      <c r="Q359" s="39" t="s">
        <v>540</v>
      </c>
      <c r="R359" s="40"/>
      <c r="S359" s="38">
        <v>959.82857142857154</v>
      </c>
      <c r="T359" s="39">
        <v>14.762193137485118</v>
      </c>
      <c r="U359" s="39">
        <v>99.837925386149706</v>
      </c>
      <c r="V359" s="38" t="s">
        <v>539</v>
      </c>
      <c r="W359" s="38">
        <v>769.7</v>
      </c>
      <c r="X359" s="38">
        <v>965.3</v>
      </c>
      <c r="Y359" s="39" t="s">
        <v>540</v>
      </c>
      <c r="Z359" s="39" t="s">
        <v>540</v>
      </c>
      <c r="AA359" s="41" t="s">
        <v>540</v>
      </c>
      <c r="AB359" s="42" t="s">
        <v>540</v>
      </c>
      <c r="AC359" s="40"/>
      <c r="AD359" s="43">
        <v>496.56670000000003</v>
      </c>
      <c r="AE359" s="39">
        <v>22.912549504950498</v>
      </c>
      <c r="AF359" s="39">
        <v>-0.96396090945352064</v>
      </c>
      <c r="AG359" s="43" t="s">
        <v>539</v>
      </c>
      <c r="AH359" s="43">
        <v>404</v>
      </c>
      <c r="AI359" s="43">
        <v>501.4</v>
      </c>
      <c r="AJ359" s="39" t="s">
        <v>539</v>
      </c>
      <c r="AK359" s="39" t="s">
        <v>539</v>
      </c>
      <c r="AL359" s="44"/>
      <c r="AM359" s="43">
        <v>496.56670000000003</v>
      </c>
      <c r="AN359" s="39">
        <v>27.455518480492813</v>
      </c>
      <c r="AO359" s="39">
        <v>-1.1414095162253557</v>
      </c>
      <c r="AP359" s="43" t="s">
        <v>539</v>
      </c>
      <c r="AQ359" s="43">
        <v>389.6</v>
      </c>
      <c r="AR359" s="43">
        <v>502.3</v>
      </c>
      <c r="AS359" s="39" t="s">
        <v>539</v>
      </c>
      <c r="AT359" s="39" t="s">
        <v>539</v>
      </c>
      <c r="AU359" s="1">
        <v>109943.50012847999</v>
      </c>
    </row>
    <row r="360" spans="2:47" ht="18" customHeight="1" x14ac:dyDescent="0.25">
      <c r="B360" s="2">
        <f>IF(G360=$B$6,MAX(B$7:B359)+1,IF($B$6="Nifty 500 - All Sector",B359+1,0))</f>
        <v>0</v>
      </c>
      <c r="C360" s="36">
        <v>3026</v>
      </c>
      <c r="D360" s="36" t="s">
        <v>379</v>
      </c>
      <c r="E360" s="36" t="s">
        <v>527</v>
      </c>
      <c r="F360" s="36" t="s">
        <v>912</v>
      </c>
      <c r="G360" s="36" t="s">
        <v>616</v>
      </c>
      <c r="H360" s="36" t="s">
        <v>535</v>
      </c>
      <c r="I360" s="37" t="s">
        <v>540</v>
      </c>
      <c r="J360" s="38">
        <v>6779.0882352941171</v>
      </c>
      <c r="K360" s="39">
        <v>19.621188066871898</v>
      </c>
      <c r="L360" s="39">
        <v>-5.4193328334749324</v>
      </c>
      <c r="M360" s="38" t="s">
        <v>539</v>
      </c>
      <c r="N360" s="38">
        <v>5667.13</v>
      </c>
      <c r="O360" s="38">
        <v>7167.5199999999995</v>
      </c>
      <c r="P360" s="39" t="s">
        <v>540</v>
      </c>
      <c r="Q360" s="39" t="s">
        <v>540</v>
      </c>
      <c r="R360" s="40"/>
      <c r="S360" s="38">
        <v>1807.8200000000002</v>
      </c>
      <c r="T360" s="39">
        <v>26.667598019862126</v>
      </c>
      <c r="U360" s="39">
        <v>335.47394830013138</v>
      </c>
      <c r="V360" s="38" t="s">
        <v>539</v>
      </c>
      <c r="W360" s="38">
        <v>1321.17</v>
      </c>
      <c r="X360" s="38">
        <v>2261.85</v>
      </c>
      <c r="Y360" s="39" t="s">
        <v>540</v>
      </c>
      <c r="Z360" s="39" t="s">
        <v>540</v>
      </c>
      <c r="AA360" s="41" t="s">
        <v>540</v>
      </c>
      <c r="AB360" s="42" t="s">
        <v>540</v>
      </c>
      <c r="AC360" s="40"/>
      <c r="AD360" s="43">
        <v>1093.9713999999999</v>
      </c>
      <c r="AE360" s="39">
        <v>39.826094736573012</v>
      </c>
      <c r="AF360" s="39">
        <v>-7.330611345943705</v>
      </c>
      <c r="AG360" s="43" t="s">
        <v>539</v>
      </c>
      <c r="AH360" s="43">
        <v>782.38</v>
      </c>
      <c r="AI360" s="43">
        <v>1180.51</v>
      </c>
      <c r="AJ360" s="39" t="s">
        <v>539</v>
      </c>
      <c r="AK360" s="39" t="s">
        <v>539</v>
      </c>
      <c r="AL360" s="44"/>
      <c r="AM360" s="43">
        <v>1093.9713999999999</v>
      </c>
      <c r="AN360" s="39">
        <v>41.610754414125182</v>
      </c>
      <c r="AO360" s="39">
        <v>-6.9396112457998482</v>
      </c>
      <c r="AP360" s="43" t="s">
        <v>539</v>
      </c>
      <c r="AQ360" s="43">
        <v>772.52</v>
      </c>
      <c r="AR360" s="43">
        <v>1175.55</v>
      </c>
      <c r="AS360" s="39" t="s">
        <v>539</v>
      </c>
      <c r="AT360" s="39" t="s">
        <v>539</v>
      </c>
      <c r="AU360" s="1">
        <v>106943.33764512</v>
      </c>
    </row>
    <row r="361" spans="2:47" ht="18" customHeight="1" x14ac:dyDescent="0.25">
      <c r="B361" s="2">
        <f>IF(G361=$B$6,MAX(B$7:B360)+1,IF($B$6="Nifty 500 - All Sector",B360+1,0))</f>
        <v>0</v>
      </c>
      <c r="C361" s="36">
        <v>22865</v>
      </c>
      <c r="D361" s="36" t="s">
        <v>380</v>
      </c>
      <c r="E361" s="36" t="s">
        <v>527</v>
      </c>
      <c r="F361" s="36" t="s">
        <v>913</v>
      </c>
      <c r="G361" s="36" t="s">
        <v>616</v>
      </c>
      <c r="H361" s="36" t="s">
        <v>532</v>
      </c>
      <c r="I361" s="37" t="s">
        <v>540</v>
      </c>
      <c r="J361" s="38">
        <v>2620.4299999999998</v>
      </c>
      <c r="K361" s="39">
        <v>37.213966299077363</v>
      </c>
      <c r="L361" s="39">
        <v>26.742667543723876</v>
      </c>
      <c r="M361" s="38" t="s">
        <v>539</v>
      </c>
      <c r="N361" s="38">
        <v>1909.74</v>
      </c>
      <c r="O361" s="38">
        <v>2067.52</v>
      </c>
      <c r="P361" s="39" t="s">
        <v>540</v>
      </c>
      <c r="Q361" s="39" t="s">
        <v>540</v>
      </c>
      <c r="R361" s="40"/>
      <c r="S361" s="38">
        <v>703.69090909090914</v>
      </c>
      <c r="T361" s="39">
        <v>26.854024304824371</v>
      </c>
      <c r="U361" s="39">
        <v>6.3990059324982695</v>
      </c>
      <c r="V361" s="38" t="s">
        <v>539</v>
      </c>
      <c r="W361" s="38">
        <v>511.62</v>
      </c>
      <c r="X361" s="38">
        <v>538.34</v>
      </c>
      <c r="Y361" s="39" t="s">
        <v>540</v>
      </c>
      <c r="Z361" s="39" t="s">
        <v>540</v>
      </c>
      <c r="AA361" s="41" t="s">
        <v>540</v>
      </c>
      <c r="AB361" s="42" t="s">
        <v>540</v>
      </c>
      <c r="AC361" s="40"/>
      <c r="AD361" s="43">
        <v>413.59089999999998</v>
      </c>
      <c r="AE361" s="39">
        <v>29.652319749216293</v>
      </c>
      <c r="AF361" s="39">
        <v>37.442144091452853</v>
      </c>
      <c r="AG361" s="43" t="s">
        <v>539</v>
      </c>
      <c r="AH361" s="43">
        <v>319</v>
      </c>
      <c r="AI361" s="43">
        <v>300.92</v>
      </c>
      <c r="AJ361" s="39" t="s">
        <v>539</v>
      </c>
      <c r="AK361" s="39" t="s">
        <v>539</v>
      </c>
      <c r="AL361" s="44"/>
      <c r="AM361" s="43">
        <v>413.59089999999998</v>
      </c>
      <c r="AN361" s="39">
        <v>29.652319749216293</v>
      </c>
      <c r="AO361" s="39">
        <v>37.442144091452853</v>
      </c>
      <c r="AP361" s="43" t="s">
        <v>539</v>
      </c>
      <c r="AQ361" s="43">
        <v>319</v>
      </c>
      <c r="AR361" s="43">
        <v>300.92</v>
      </c>
      <c r="AS361" s="39" t="s">
        <v>539</v>
      </c>
      <c r="AT361" s="39" t="s">
        <v>539</v>
      </c>
      <c r="AU361" s="1">
        <v>96346.057698000004</v>
      </c>
    </row>
    <row r="362" spans="2:47" ht="18" customHeight="1" x14ac:dyDescent="0.25">
      <c r="B362" s="2">
        <f>IF(G362=$B$6,MAX(B$7:B361)+1,IF($B$6="Nifty 500 - All Sector",B361+1,0))</f>
        <v>0</v>
      </c>
      <c r="C362" s="36">
        <v>20883</v>
      </c>
      <c r="D362" s="36" t="s">
        <v>381</v>
      </c>
      <c r="E362" s="36" t="s">
        <v>527</v>
      </c>
      <c r="F362" s="36" t="s">
        <v>914</v>
      </c>
      <c r="G362" s="36" t="s">
        <v>616</v>
      </c>
      <c r="H362" s="36" t="s">
        <v>532</v>
      </c>
      <c r="I362" s="37" t="s">
        <v>540</v>
      </c>
      <c r="J362" s="38">
        <v>6942.0071428571418</v>
      </c>
      <c r="K362" s="39">
        <v>6.3436502222329105</v>
      </c>
      <c r="L362" s="39">
        <v>1.1291010686450775</v>
      </c>
      <c r="M362" s="38" t="s">
        <v>539</v>
      </c>
      <c r="N362" s="38">
        <v>6527.9</v>
      </c>
      <c r="O362" s="38">
        <v>6864.5</v>
      </c>
      <c r="P362" s="39" t="s">
        <v>540</v>
      </c>
      <c r="Q362" s="39" t="s">
        <v>540</v>
      </c>
      <c r="R362" s="40"/>
      <c r="S362" s="38">
        <v>1631.4083333333333</v>
      </c>
      <c r="T362" s="39">
        <v>23.500528013889223</v>
      </c>
      <c r="U362" s="39">
        <v>-905.97134113777076</v>
      </c>
      <c r="V362" s="38" t="s">
        <v>539</v>
      </c>
      <c r="W362" s="38">
        <v>2125.5</v>
      </c>
      <c r="X362" s="38">
        <v>1816.4</v>
      </c>
      <c r="Y362" s="39" t="s">
        <v>540</v>
      </c>
      <c r="Z362" s="39" t="s">
        <v>540</v>
      </c>
      <c r="AA362" s="41" t="s">
        <v>540</v>
      </c>
      <c r="AB362" s="42" t="s">
        <v>540</v>
      </c>
      <c r="AC362" s="40"/>
      <c r="AD362" s="43">
        <v>884.82309999999995</v>
      </c>
      <c r="AE362" s="39">
        <v>-29.146132286995517</v>
      </c>
      <c r="AF362" s="39">
        <v>-8.317987773287749</v>
      </c>
      <c r="AG362" s="43" t="s">
        <v>539</v>
      </c>
      <c r="AH362" s="43">
        <v>1248.8</v>
      </c>
      <c r="AI362" s="43">
        <v>965.1</v>
      </c>
      <c r="AJ362" s="39" t="s">
        <v>539</v>
      </c>
      <c r="AK362" s="39" t="s">
        <v>539</v>
      </c>
      <c r="AL362" s="44"/>
      <c r="AM362" s="43">
        <v>884.82309999999995</v>
      </c>
      <c r="AN362" s="39">
        <v>-24.432223076266133</v>
      </c>
      <c r="AO362" s="39">
        <v>-15.092304001535361</v>
      </c>
      <c r="AP362" s="43" t="s">
        <v>539</v>
      </c>
      <c r="AQ362" s="43">
        <v>1170.9000000000001</v>
      </c>
      <c r="AR362" s="43">
        <v>1042.0999999999999</v>
      </c>
      <c r="AS362" s="39" t="s">
        <v>539</v>
      </c>
      <c r="AT362" s="39" t="s">
        <v>539</v>
      </c>
      <c r="AU362" s="1">
        <v>94183.501464000001</v>
      </c>
    </row>
    <row r="363" spans="2:47" ht="18" customHeight="1" x14ac:dyDescent="0.25">
      <c r="B363" s="2">
        <f>IF(G363=$B$6,MAX(B$7:B362)+1,IF($B$6="Nifty 500 - All Sector",B362+1,0))</f>
        <v>0</v>
      </c>
      <c r="C363" s="36">
        <v>4666</v>
      </c>
      <c r="D363" s="36" t="s">
        <v>382</v>
      </c>
      <c r="E363" s="36" t="s">
        <v>527</v>
      </c>
      <c r="F363" s="36" t="s">
        <v>915</v>
      </c>
      <c r="G363" s="36" t="s">
        <v>616</v>
      </c>
      <c r="H363" s="36" t="s">
        <v>535</v>
      </c>
      <c r="I363" s="37" t="s">
        <v>540</v>
      </c>
      <c r="J363" s="38">
        <v>8766.9363636363632</v>
      </c>
      <c r="K363" s="39">
        <v>4.5909192857697345</v>
      </c>
      <c r="L363" s="39">
        <v>1.3999278691213535</v>
      </c>
      <c r="M363" s="38" t="s">
        <v>539</v>
      </c>
      <c r="N363" s="38">
        <v>8382.1200000000008</v>
      </c>
      <c r="O363" s="38">
        <v>8645.9</v>
      </c>
      <c r="P363" s="39" t="s">
        <v>540</v>
      </c>
      <c r="Q363" s="39" t="s">
        <v>540</v>
      </c>
      <c r="R363" s="40"/>
      <c r="S363" s="38">
        <v>1822.7384615384617</v>
      </c>
      <c r="T363" s="39">
        <v>20.791053863455026</v>
      </c>
      <c r="U363" s="39">
        <v>-58.683144479634564</v>
      </c>
      <c r="V363" s="38" t="s">
        <v>539</v>
      </c>
      <c r="W363" s="38">
        <v>1791.92</v>
      </c>
      <c r="X363" s="38">
        <v>1773.34</v>
      </c>
      <c r="Y363" s="39" t="s">
        <v>540</v>
      </c>
      <c r="Z363" s="39" t="s">
        <v>540</v>
      </c>
      <c r="AA363" s="41" t="s">
        <v>540</v>
      </c>
      <c r="AB363" s="42" t="s">
        <v>540</v>
      </c>
      <c r="AC363" s="40"/>
      <c r="AD363" s="43">
        <v>990.91000000000008</v>
      </c>
      <c r="AE363" s="39">
        <v>5.9774122478663649</v>
      </c>
      <c r="AF363" s="39">
        <v>8.9594581221205782</v>
      </c>
      <c r="AG363" s="43" t="s">
        <v>539</v>
      </c>
      <c r="AH363" s="43">
        <v>935.02</v>
      </c>
      <c r="AI363" s="43">
        <v>909.42999999999904</v>
      </c>
      <c r="AJ363" s="39" t="s">
        <v>539</v>
      </c>
      <c r="AK363" s="39" t="s">
        <v>539</v>
      </c>
      <c r="AL363" s="44"/>
      <c r="AM363" s="43">
        <v>990.91000000000008</v>
      </c>
      <c r="AN363" s="39">
        <v>9.6782405613910818</v>
      </c>
      <c r="AO363" s="39">
        <v>8.8565182524250616</v>
      </c>
      <c r="AP363" s="43" t="s">
        <v>539</v>
      </c>
      <c r="AQ363" s="43">
        <v>903.47</v>
      </c>
      <c r="AR363" s="43">
        <v>910.29</v>
      </c>
      <c r="AS363" s="39" t="s">
        <v>539</v>
      </c>
      <c r="AT363" s="39" t="s">
        <v>539</v>
      </c>
      <c r="AU363" s="1">
        <v>79889.263243649999</v>
      </c>
    </row>
    <row r="364" spans="2:47" ht="18" customHeight="1" x14ac:dyDescent="0.25">
      <c r="B364" s="2">
        <f>IF(G364=$B$6,MAX(B$7:B363)+1,IF($B$6="Nifty 500 - All Sector",B363+1,0))</f>
        <v>0</v>
      </c>
      <c r="C364" s="36">
        <v>19299</v>
      </c>
      <c r="D364" s="36" t="s">
        <v>383</v>
      </c>
      <c r="E364" s="36" t="s">
        <v>527</v>
      </c>
      <c r="F364" s="36" t="s">
        <v>916</v>
      </c>
      <c r="G364" s="36" t="s">
        <v>616</v>
      </c>
      <c r="H364" s="36" t="s">
        <v>535</v>
      </c>
      <c r="I364" s="37" t="s">
        <v>540</v>
      </c>
      <c r="J364" s="38">
        <v>3554.8272727272729</v>
      </c>
      <c r="K364" s="39">
        <v>13.076016627507681</v>
      </c>
      <c r="L364" s="39">
        <v>-4.8702567229014893</v>
      </c>
      <c r="M364" s="38" t="s">
        <v>539</v>
      </c>
      <c r="N364" s="38">
        <v>3143.75</v>
      </c>
      <c r="O364" s="38">
        <v>3736.82</v>
      </c>
      <c r="P364" s="39" t="s">
        <v>540</v>
      </c>
      <c r="Q364" s="39" t="s">
        <v>540</v>
      </c>
      <c r="R364" s="40"/>
      <c r="S364" s="38">
        <v>507.1</v>
      </c>
      <c r="T364" s="39">
        <v>14.265109415877514</v>
      </c>
      <c r="U364" s="39">
        <v>181.85090182631996</v>
      </c>
      <c r="V364" s="38" t="s">
        <v>539</v>
      </c>
      <c r="W364" s="38">
        <v>391.29</v>
      </c>
      <c r="X364" s="38">
        <v>828</v>
      </c>
      <c r="Y364" s="39" t="s">
        <v>540</v>
      </c>
      <c r="Z364" s="39" t="s">
        <v>540</v>
      </c>
      <c r="AA364" s="41" t="s">
        <v>540</v>
      </c>
      <c r="AB364" s="42" t="s">
        <v>540</v>
      </c>
      <c r="AC364" s="40"/>
      <c r="AD364" s="43">
        <v>410.6</v>
      </c>
      <c r="AE364" s="39">
        <v>27.116807529178665</v>
      </c>
      <c r="AF364" s="39">
        <v>-37.171973742597885</v>
      </c>
      <c r="AG364" s="43" t="s">
        <v>539</v>
      </c>
      <c r="AH364" s="43">
        <v>323.01</v>
      </c>
      <c r="AI364" s="43">
        <v>653.53</v>
      </c>
      <c r="AJ364" s="39" t="s">
        <v>539</v>
      </c>
      <c r="AK364" s="39" t="s">
        <v>539</v>
      </c>
      <c r="AL364" s="44"/>
      <c r="AM364" s="43">
        <v>410.6</v>
      </c>
      <c r="AN364" s="39">
        <v>34.244425554175109</v>
      </c>
      <c r="AO364" s="39">
        <v>-35.442281689255054</v>
      </c>
      <c r="AP364" s="43" t="s">
        <v>539</v>
      </c>
      <c r="AQ364" s="43">
        <v>305.86</v>
      </c>
      <c r="AR364" s="43">
        <v>636.02</v>
      </c>
      <c r="AS364" s="39" t="s">
        <v>539</v>
      </c>
      <c r="AT364" s="39" t="s">
        <v>539</v>
      </c>
      <c r="AU364" s="1">
        <v>66673.628775000005</v>
      </c>
    </row>
    <row r="365" spans="2:47" ht="18" customHeight="1" x14ac:dyDescent="0.25">
      <c r="B365" s="2">
        <f>IF(G365=$B$6,MAX(B$7:B364)+1,IF($B$6="Nifty 500 - All Sector",B364+1,0))</f>
        <v>0</v>
      </c>
      <c r="C365" s="36">
        <v>24049</v>
      </c>
      <c r="D365" s="36" t="s">
        <v>384</v>
      </c>
      <c r="E365" s="36" t="s">
        <v>527</v>
      </c>
      <c r="F365" s="36" t="s">
        <v>917</v>
      </c>
      <c r="G365" s="36" t="s">
        <v>616</v>
      </c>
      <c r="H365" s="36" t="s">
        <v>535</v>
      </c>
      <c r="I365" s="37" t="s">
        <v>540</v>
      </c>
      <c r="J365" s="38">
        <v>2321.1999999999998</v>
      </c>
      <c r="K365" s="39">
        <v>15.643682742128329</v>
      </c>
      <c r="L365" s="39">
        <v>2.4807837492990981</v>
      </c>
      <c r="M365" s="38" t="s">
        <v>539</v>
      </c>
      <c r="N365" s="38">
        <v>2007.2</v>
      </c>
      <c r="O365" s="38">
        <v>2265.0100000000002</v>
      </c>
      <c r="P365" s="39" t="s">
        <v>540</v>
      </c>
      <c r="Q365" s="39" t="s">
        <v>540</v>
      </c>
      <c r="R365" s="40"/>
      <c r="S365" s="38">
        <v>543.13750000000005</v>
      </c>
      <c r="T365" s="39">
        <v>23.398996208857493</v>
      </c>
      <c r="U365" s="39">
        <v>170.35996365179145</v>
      </c>
      <c r="V365" s="38" t="s">
        <v>539</v>
      </c>
      <c r="W365" s="38">
        <v>435.47</v>
      </c>
      <c r="X365" s="38">
        <v>505.65</v>
      </c>
      <c r="Y365" s="39" t="s">
        <v>540</v>
      </c>
      <c r="Z365" s="39" t="s">
        <v>540</v>
      </c>
      <c r="AA365" s="41" t="s">
        <v>540</v>
      </c>
      <c r="AB365" s="42" t="s">
        <v>540</v>
      </c>
      <c r="AC365" s="40"/>
      <c r="AD365" s="43">
        <v>282.63330000000002</v>
      </c>
      <c r="AE365" s="39">
        <v>54.124386519794989</v>
      </c>
      <c r="AF365" s="39">
        <v>45.784958993139746</v>
      </c>
      <c r="AG365" s="43" t="s">
        <v>539</v>
      </c>
      <c r="AH365" s="43">
        <v>183.38</v>
      </c>
      <c r="AI365" s="43">
        <v>193.87</v>
      </c>
      <c r="AJ365" s="39" t="s">
        <v>539</v>
      </c>
      <c r="AK365" s="39" t="s">
        <v>539</v>
      </c>
      <c r="AL365" s="44"/>
      <c r="AM365" s="43">
        <v>282.63330000000002</v>
      </c>
      <c r="AN365" s="39">
        <v>53.69693838707925</v>
      </c>
      <c r="AO365" s="39">
        <v>45.890311257936325</v>
      </c>
      <c r="AP365" s="43" t="s">
        <v>539</v>
      </c>
      <c r="AQ365" s="43">
        <v>183.89</v>
      </c>
      <c r="AR365" s="43">
        <v>193.73</v>
      </c>
      <c r="AS365" s="39" t="s">
        <v>539</v>
      </c>
      <c r="AT365" s="39" t="s">
        <v>539</v>
      </c>
      <c r="AU365" s="1">
        <v>66262.676649960005</v>
      </c>
    </row>
    <row r="366" spans="2:47" ht="18" customHeight="1" x14ac:dyDescent="0.25">
      <c r="B366" s="2">
        <f>IF(G366=$B$6,MAX(B$7:B365)+1,IF($B$6="Nifty 500 - All Sector",B365+1,0))</f>
        <v>0</v>
      </c>
      <c r="C366" s="36">
        <v>20600</v>
      </c>
      <c r="D366" s="36" t="s">
        <v>385</v>
      </c>
      <c r="E366" s="36" t="s">
        <v>527</v>
      </c>
      <c r="F366" s="36" t="s">
        <v>918</v>
      </c>
      <c r="G366" s="36" t="s">
        <v>616</v>
      </c>
      <c r="H366" s="36" t="s">
        <v>535</v>
      </c>
      <c r="I366" s="37" t="s">
        <v>540</v>
      </c>
      <c r="J366" s="38">
        <v>3810.2599999999998</v>
      </c>
      <c r="K366" s="39">
        <v>17.015323969060915</v>
      </c>
      <c r="L366" s="39">
        <v>-2.3164295886674235</v>
      </c>
      <c r="M366" s="38" t="s">
        <v>539</v>
      </c>
      <c r="N366" s="38">
        <v>3256.2060000000001</v>
      </c>
      <c r="O366" s="38">
        <v>3900.6149999999998</v>
      </c>
      <c r="P366" s="39" t="s">
        <v>540</v>
      </c>
      <c r="Q366" s="39" t="s">
        <v>540</v>
      </c>
      <c r="R366" s="40"/>
      <c r="S366" s="38">
        <v>832.4</v>
      </c>
      <c r="T366" s="39">
        <v>21.84627820673655</v>
      </c>
      <c r="U366" s="39">
        <v>461.68707306739202</v>
      </c>
      <c r="V366" s="38" t="s">
        <v>539</v>
      </c>
      <c r="W366" s="38">
        <v>561.02499999999998</v>
      </c>
      <c r="X366" s="38">
        <v>869.74900000000002</v>
      </c>
      <c r="Y366" s="39" t="s">
        <v>540</v>
      </c>
      <c r="Z366" s="39" t="s">
        <v>540</v>
      </c>
      <c r="AA366" s="41" t="s">
        <v>540</v>
      </c>
      <c r="AB366" s="42" t="s">
        <v>540</v>
      </c>
      <c r="AC366" s="40"/>
      <c r="AD366" s="43">
        <v>508.3</v>
      </c>
      <c r="AE366" s="39">
        <v>11494.434306568734</v>
      </c>
      <c r="AF366" s="39">
        <v>26.057714246034493</v>
      </c>
      <c r="AG366" s="43" t="s">
        <v>539</v>
      </c>
      <c r="AH366" s="43">
        <v>4.3840000000002304</v>
      </c>
      <c r="AI366" s="43">
        <v>403.22800000000001</v>
      </c>
      <c r="AJ366" s="39" t="s">
        <v>539</v>
      </c>
      <c r="AK366" s="39" t="s">
        <v>539</v>
      </c>
      <c r="AL366" s="44"/>
      <c r="AM366" s="43">
        <v>508.3</v>
      </c>
      <c r="AN366" s="39">
        <v>10831.182795698925</v>
      </c>
      <c r="AO366" s="39">
        <v>26.062403741942841</v>
      </c>
      <c r="AP366" s="43" t="s">
        <v>539</v>
      </c>
      <c r="AQ366" s="43">
        <v>4.6500000000000004</v>
      </c>
      <c r="AR366" s="43">
        <v>403.21300000000002</v>
      </c>
      <c r="AS366" s="39" t="s">
        <v>539</v>
      </c>
      <c r="AT366" s="39" t="s">
        <v>539</v>
      </c>
      <c r="AU366" s="1">
        <v>63781.615846134999</v>
      </c>
    </row>
    <row r="367" spans="2:47" ht="18" customHeight="1" x14ac:dyDescent="0.25">
      <c r="B367" s="2">
        <f>IF(G367=$B$6,MAX(B$7:B366)+1,IF($B$6="Nifty 500 - All Sector",B366+1,0))</f>
        <v>0</v>
      </c>
      <c r="C367" s="36">
        <v>14801</v>
      </c>
      <c r="D367" s="36" t="s">
        <v>386</v>
      </c>
      <c r="E367" s="36" t="s">
        <v>527</v>
      </c>
      <c r="F367" s="36" t="s">
        <v>919</v>
      </c>
      <c r="G367" s="36" t="s">
        <v>616</v>
      </c>
      <c r="H367" s="36" t="s">
        <v>535</v>
      </c>
      <c r="I367" s="37" t="s">
        <v>540</v>
      </c>
      <c r="J367" s="38">
        <v>4556.8076923076924</v>
      </c>
      <c r="K367" s="39">
        <v>3.1652182999251099</v>
      </c>
      <c r="L367" s="39">
        <v>9.1974045604527266</v>
      </c>
      <c r="M367" s="38" t="s">
        <v>539</v>
      </c>
      <c r="N367" s="38">
        <v>4417</v>
      </c>
      <c r="O367" s="38">
        <v>4173</v>
      </c>
      <c r="P367" s="39" t="s">
        <v>540</v>
      </c>
      <c r="Q367" s="39" t="s">
        <v>540</v>
      </c>
      <c r="R367" s="40"/>
      <c r="S367" s="38">
        <v>924.66666666666663</v>
      </c>
      <c r="T367" s="39">
        <v>20.291983535482274</v>
      </c>
      <c r="U367" s="39">
        <v>-411.82496544656573</v>
      </c>
      <c r="V367" s="38" t="s">
        <v>539</v>
      </c>
      <c r="W367" s="38">
        <v>1078.2</v>
      </c>
      <c r="X367" s="38">
        <v>833.5</v>
      </c>
      <c r="Y367" s="39" t="s">
        <v>540</v>
      </c>
      <c r="Z367" s="39" t="s">
        <v>540</v>
      </c>
      <c r="AA367" s="41" t="s">
        <v>540</v>
      </c>
      <c r="AB367" s="42" t="s">
        <v>540</v>
      </c>
      <c r="AC367" s="40"/>
      <c r="AD367" s="43">
        <v>125.1</v>
      </c>
      <c r="AE367" s="39">
        <v>-72.768828907270347</v>
      </c>
      <c r="AF367" s="39" t="s">
        <v>547</v>
      </c>
      <c r="AG367" s="43" t="s">
        <v>539</v>
      </c>
      <c r="AH367" s="43">
        <v>459.4</v>
      </c>
      <c r="AI367" s="43">
        <v>-51.8</v>
      </c>
      <c r="AJ367" s="39" t="s">
        <v>539</v>
      </c>
      <c r="AK367" s="39" t="s">
        <v>547</v>
      </c>
      <c r="AL367" s="44"/>
      <c r="AM367" s="43">
        <v>125.1</v>
      </c>
      <c r="AN367" s="39">
        <v>-63.686502177068213</v>
      </c>
      <c r="AO367" s="39">
        <v>-13.00417246175245</v>
      </c>
      <c r="AP367" s="43" t="s">
        <v>539</v>
      </c>
      <c r="AQ367" s="43">
        <v>344.5</v>
      </c>
      <c r="AR367" s="43">
        <v>143.80000000000001</v>
      </c>
      <c r="AS367" s="39" t="s">
        <v>539</v>
      </c>
      <c r="AT367" s="39" t="s">
        <v>539</v>
      </c>
      <c r="AU367" s="1">
        <v>56804.712904785003</v>
      </c>
    </row>
    <row r="368" spans="2:47" ht="18" customHeight="1" x14ac:dyDescent="0.25">
      <c r="B368" s="2">
        <f>IF(G368=$B$6,MAX(B$7:B367)+1,IF($B$6="Nifty 500 - All Sector",B367+1,0))</f>
        <v>0</v>
      </c>
      <c r="C368" s="36">
        <v>90</v>
      </c>
      <c r="D368" s="36" t="s">
        <v>387</v>
      </c>
      <c r="E368" s="36" t="s">
        <v>533</v>
      </c>
      <c r="F368" s="36" t="s">
        <v>920</v>
      </c>
      <c r="G368" s="36" t="s">
        <v>616</v>
      </c>
      <c r="H368" s="36" t="s">
        <v>535</v>
      </c>
      <c r="I368" s="37" t="s">
        <v>540</v>
      </c>
      <c r="J368" s="38">
        <v>1725.6599999999999</v>
      </c>
      <c r="K368" s="39">
        <v>7.5452296225203996</v>
      </c>
      <c r="L368" s="39">
        <v>9.3965337231138868E-2</v>
      </c>
      <c r="M368" s="38" t="s">
        <v>539</v>
      </c>
      <c r="N368" s="38">
        <v>1604.59</v>
      </c>
      <c r="O368" s="38">
        <v>1724.04</v>
      </c>
      <c r="P368" s="39" t="s">
        <v>540</v>
      </c>
      <c r="Q368" s="39" t="s">
        <v>540</v>
      </c>
      <c r="R368" s="40"/>
      <c r="S368" s="38">
        <v>465.65</v>
      </c>
      <c r="T368" s="39">
        <v>26.983878631943721</v>
      </c>
      <c r="U368" s="39">
        <v>27.674472234687286</v>
      </c>
      <c r="V368" s="38" t="s">
        <v>539</v>
      </c>
      <c r="W368" s="38">
        <v>428.54</v>
      </c>
      <c r="X368" s="38">
        <v>463.47</v>
      </c>
      <c r="Y368" s="39" t="s">
        <v>540</v>
      </c>
      <c r="Z368" s="39" t="s">
        <v>540</v>
      </c>
      <c r="AA368" s="41" t="s">
        <v>540</v>
      </c>
      <c r="AB368" s="42" t="s">
        <v>540</v>
      </c>
      <c r="AC368" s="40"/>
      <c r="AD368" s="43">
        <v>388.97500000000002</v>
      </c>
      <c r="AE368" s="39">
        <v>5.9761878814298175</v>
      </c>
      <c r="AF368" s="39">
        <v>3.4618044472816356</v>
      </c>
      <c r="AG368" s="43" t="s">
        <v>539</v>
      </c>
      <c r="AH368" s="43">
        <v>367.04</v>
      </c>
      <c r="AI368" s="43">
        <v>375.96</v>
      </c>
      <c r="AJ368" s="39" t="s">
        <v>539</v>
      </c>
      <c r="AK368" s="39" t="s">
        <v>539</v>
      </c>
      <c r="AL368" s="44"/>
      <c r="AM368" s="43">
        <v>388.97500000000002</v>
      </c>
      <c r="AN368" s="39">
        <v>5.9761878814298175</v>
      </c>
      <c r="AO368" s="39">
        <v>3.4618044472816356</v>
      </c>
      <c r="AP368" s="43" t="s">
        <v>539</v>
      </c>
      <c r="AQ368" s="43">
        <v>367.04</v>
      </c>
      <c r="AR368" s="43">
        <v>375.96</v>
      </c>
      <c r="AS368" s="39" t="s">
        <v>539</v>
      </c>
      <c r="AT368" s="39" t="s">
        <v>539</v>
      </c>
      <c r="AU368" s="1">
        <v>55184.012307960002</v>
      </c>
    </row>
    <row r="369" spans="2:47" ht="18" customHeight="1" x14ac:dyDescent="0.25">
      <c r="B369" s="2">
        <f>IF(G369=$B$6,MAX(B$7:B368)+1,IF($B$6="Nifty 500 - All Sector",B368+1,0))</f>
        <v>0</v>
      </c>
      <c r="C369" s="36">
        <v>195</v>
      </c>
      <c r="D369" s="36" t="s">
        <v>388</v>
      </c>
      <c r="E369" s="36" t="s">
        <v>527</v>
      </c>
      <c r="F369" s="36" t="s">
        <v>921</v>
      </c>
      <c r="G369" s="36" t="s">
        <v>616</v>
      </c>
      <c r="H369" s="36" t="s">
        <v>535</v>
      </c>
      <c r="I369" s="37" t="s">
        <v>540</v>
      </c>
      <c r="J369" s="38">
        <v>1095</v>
      </c>
      <c r="K369" s="39">
        <v>12.380307275470305</v>
      </c>
      <c r="L369" s="39">
        <v>5.1610548758235231</v>
      </c>
      <c r="M369" s="38" t="s">
        <v>539</v>
      </c>
      <c r="N369" s="38">
        <v>974.37</v>
      </c>
      <c r="O369" s="38">
        <v>1041.26</v>
      </c>
      <c r="P369" s="39" t="s">
        <v>540</v>
      </c>
      <c r="Q369" s="39" t="s">
        <v>540</v>
      </c>
      <c r="R369" s="40"/>
      <c r="S369" s="38">
        <v>394.2</v>
      </c>
      <c r="T369" s="39">
        <v>36</v>
      </c>
      <c r="U369" s="39">
        <v>180.45711588000444</v>
      </c>
      <c r="V369" s="38" t="s">
        <v>539</v>
      </c>
      <c r="W369" s="38">
        <v>333.19</v>
      </c>
      <c r="X369" s="38">
        <v>371.34</v>
      </c>
      <c r="Y369" s="39" t="s">
        <v>540</v>
      </c>
      <c r="Z369" s="39" t="s">
        <v>540</v>
      </c>
      <c r="AA369" s="41" t="s">
        <v>540</v>
      </c>
      <c r="AB369" s="42" t="s">
        <v>540</v>
      </c>
      <c r="AC369" s="40"/>
      <c r="AD369" s="43">
        <v>299.64999999999998</v>
      </c>
      <c r="AE369" s="39">
        <v>13.991706927378544</v>
      </c>
      <c r="AF369" s="39">
        <v>1.3632365875109853</v>
      </c>
      <c r="AG369" s="43" t="s">
        <v>539</v>
      </c>
      <c r="AH369" s="43">
        <v>262.87</v>
      </c>
      <c r="AI369" s="43">
        <v>295.62</v>
      </c>
      <c r="AJ369" s="39" t="s">
        <v>539</v>
      </c>
      <c r="AK369" s="39" t="s">
        <v>539</v>
      </c>
      <c r="AL369" s="44"/>
      <c r="AM369" s="43">
        <v>299.64999999999998</v>
      </c>
      <c r="AN369" s="39">
        <v>13.991706927378544</v>
      </c>
      <c r="AO369" s="39">
        <v>1.3632365875109853</v>
      </c>
      <c r="AP369" s="43" t="s">
        <v>539</v>
      </c>
      <c r="AQ369" s="43">
        <v>262.87</v>
      </c>
      <c r="AR369" s="43">
        <v>295.62</v>
      </c>
      <c r="AS369" s="39" t="s">
        <v>539</v>
      </c>
      <c r="AT369" s="39" t="s">
        <v>539</v>
      </c>
      <c r="AU369" s="1">
        <v>40763.326931249998</v>
      </c>
    </row>
    <row r="370" spans="2:47" ht="18" customHeight="1" x14ac:dyDescent="0.25">
      <c r="B370" s="2">
        <f>IF(G370=$B$6,MAX(B$7:B369)+1,IF($B$6="Nifty 500 - All Sector",B369+1,0))</f>
        <v>0</v>
      </c>
      <c r="C370" s="36">
        <v>33976</v>
      </c>
      <c r="D370" s="36" t="s">
        <v>389</v>
      </c>
      <c r="E370" s="36" t="s">
        <v>527</v>
      </c>
      <c r="F370" s="36" t="s">
        <v>922</v>
      </c>
      <c r="G370" s="36" t="s">
        <v>616</v>
      </c>
      <c r="H370" s="36" t="s">
        <v>535</v>
      </c>
      <c r="I370" s="37" t="s">
        <v>540</v>
      </c>
      <c r="J370" s="38">
        <v>606</v>
      </c>
      <c r="K370" s="39" t="s">
        <v>540</v>
      </c>
      <c r="L370" s="39">
        <v>43.210611764539067</v>
      </c>
      <c r="M370" s="38" t="s">
        <v>539</v>
      </c>
      <c r="N370" s="38">
        <v>0</v>
      </c>
      <c r="O370" s="38">
        <v>423.15300000000002</v>
      </c>
      <c r="P370" s="39" t="s">
        <v>540</v>
      </c>
      <c r="Q370" s="39" t="s">
        <v>540</v>
      </c>
      <c r="R370" s="40"/>
      <c r="S370" s="38">
        <v>239.9</v>
      </c>
      <c r="T370" s="39">
        <v>39.587458745874585</v>
      </c>
      <c r="U370" s="39" t="s">
        <v>540</v>
      </c>
      <c r="V370" s="38" t="s">
        <v>539</v>
      </c>
      <c r="W370" s="38" t="s">
        <v>540</v>
      </c>
      <c r="X370" s="38">
        <v>157.19999999999999</v>
      </c>
      <c r="Y370" s="39" t="s">
        <v>540</v>
      </c>
      <c r="Z370" s="39" t="s">
        <v>540</v>
      </c>
      <c r="AA370" s="41" t="s">
        <v>540</v>
      </c>
      <c r="AB370" s="42" t="s">
        <v>540</v>
      </c>
      <c r="AC370" s="40"/>
      <c r="AD370" s="43" t="s">
        <v>540</v>
      </c>
      <c r="AE370" s="39" t="s">
        <v>539</v>
      </c>
      <c r="AF370" s="39" t="s">
        <v>539</v>
      </c>
      <c r="AG370" s="43" t="s">
        <v>539</v>
      </c>
      <c r="AH370" s="43">
        <v>0</v>
      </c>
      <c r="AI370" s="43">
        <v>92.816999999999993</v>
      </c>
      <c r="AJ370" s="39" t="s">
        <v>539</v>
      </c>
      <c r="AK370" s="39" t="s">
        <v>539</v>
      </c>
      <c r="AL370" s="44"/>
      <c r="AM370" s="43" t="s">
        <v>539</v>
      </c>
      <c r="AN370" s="39" t="s">
        <v>539</v>
      </c>
      <c r="AO370" s="39" t="s">
        <v>539</v>
      </c>
      <c r="AP370" s="43" t="s">
        <v>539</v>
      </c>
      <c r="AQ370" s="43">
        <v>0</v>
      </c>
      <c r="AR370" s="43">
        <v>92.816999999999993</v>
      </c>
      <c r="AS370" s="39" t="s">
        <v>539</v>
      </c>
      <c r="AT370" s="39" t="s">
        <v>539</v>
      </c>
      <c r="AU370" s="1">
        <v>40960.174014919998</v>
      </c>
    </row>
    <row r="371" spans="2:47" ht="18" customHeight="1" x14ac:dyDescent="0.25">
      <c r="B371" s="2">
        <f>IF(G371=$B$6,MAX(B$7:B370)+1,IF($B$6="Nifty 500 - All Sector",B370+1,0))</f>
        <v>0</v>
      </c>
      <c r="C371" s="36">
        <v>3617</v>
      </c>
      <c r="D371" s="36" t="s">
        <v>390</v>
      </c>
      <c r="E371" s="36" t="s">
        <v>527</v>
      </c>
      <c r="F371" s="36" t="s">
        <v>923</v>
      </c>
      <c r="G371" s="36" t="s">
        <v>616</v>
      </c>
      <c r="H371" s="36" t="s">
        <v>535</v>
      </c>
      <c r="I371" s="37" t="s">
        <v>540</v>
      </c>
      <c r="J371" s="38">
        <v>2388.6999999999998</v>
      </c>
      <c r="K371" s="39">
        <v>6.3208542344515672</v>
      </c>
      <c r="L371" s="39">
        <v>-0.15882967607105947</v>
      </c>
      <c r="M371" s="38" t="s">
        <v>539</v>
      </c>
      <c r="N371" s="38">
        <v>2246.69</v>
      </c>
      <c r="O371" s="38">
        <v>2392.5</v>
      </c>
      <c r="P371" s="39" t="s">
        <v>540</v>
      </c>
      <c r="Q371" s="39" t="s">
        <v>540</v>
      </c>
      <c r="R371" s="40"/>
      <c r="S371" s="38">
        <v>473.68333333333328</v>
      </c>
      <c r="T371" s="39">
        <v>19.83017261830005</v>
      </c>
      <c r="U371" s="39">
        <v>74.164683147587596</v>
      </c>
      <c r="V371" s="38" t="s">
        <v>539</v>
      </c>
      <c r="W371" s="38">
        <v>428.86</v>
      </c>
      <c r="X371" s="38">
        <v>533.35</v>
      </c>
      <c r="Y371" s="39" t="s">
        <v>540</v>
      </c>
      <c r="Z371" s="39" t="s">
        <v>540</v>
      </c>
      <c r="AA371" s="41" t="s">
        <v>540</v>
      </c>
      <c r="AB371" s="42" t="s">
        <v>540</v>
      </c>
      <c r="AC371" s="40"/>
      <c r="AD371" s="43">
        <v>269.35000000000002</v>
      </c>
      <c r="AE371" s="39">
        <v>309.47096381879049</v>
      </c>
      <c r="AF371" s="39">
        <v>-26.012910314517235</v>
      </c>
      <c r="AG371" s="43" t="s">
        <v>539</v>
      </c>
      <c r="AH371" s="43">
        <v>65.779999999999902</v>
      </c>
      <c r="AI371" s="43">
        <v>364.05</v>
      </c>
      <c r="AJ371" s="39" t="s">
        <v>539</v>
      </c>
      <c r="AK371" s="39" t="s">
        <v>539</v>
      </c>
      <c r="AL371" s="44"/>
      <c r="AM371" s="43">
        <v>269.35000000000002</v>
      </c>
      <c r="AN371" s="39">
        <v>297.1542317900325</v>
      </c>
      <c r="AO371" s="39">
        <v>-17.445673828424301</v>
      </c>
      <c r="AP371" s="43" t="s">
        <v>539</v>
      </c>
      <c r="AQ371" s="43">
        <v>67.819999999999993</v>
      </c>
      <c r="AR371" s="43">
        <v>326.27</v>
      </c>
      <c r="AS371" s="39" t="s">
        <v>539</v>
      </c>
      <c r="AT371" s="39" t="s">
        <v>539</v>
      </c>
      <c r="AU371" s="1">
        <v>37333.844199790001</v>
      </c>
    </row>
    <row r="372" spans="2:47" ht="18" customHeight="1" x14ac:dyDescent="0.25">
      <c r="B372" s="2">
        <f>IF(G372=$B$6,MAX(B$7:B371)+1,IF($B$6="Nifty 500 - All Sector",B371+1,0))</f>
        <v>0</v>
      </c>
      <c r="C372" s="36">
        <v>68392</v>
      </c>
      <c r="D372" s="36" t="s">
        <v>391</v>
      </c>
      <c r="E372" s="36" t="s">
        <v>527</v>
      </c>
      <c r="F372" s="36" t="s">
        <v>924</v>
      </c>
      <c r="G372" s="36" t="s">
        <v>616</v>
      </c>
      <c r="H372" s="36" t="s">
        <v>529</v>
      </c>
      <c r="I372" s="37" t="s">
        <v>540</v>
      </c>
      <c r="J372" s="38">
        <v>1197.55</v>
      </c>
      <c r="K372" s="39">
        <v>19.714297138972746</v>
      </c>
      <c r="L372" s="39">
        <v>0.99429901497773976</v>
      </c>
      <c r="M372" s="38" t="s">
        <v>539</v>
      </c>
      <c r="N372" s="38">
        <v>1000.34</v>
      </c>
      <c r="O372" s="38">
        <v>1185.76</v>
      </c>
      <c r="P372" s="39" t="s">
        <v>540</v>
      </c>
      <c r="Q372" s="39" t="s">
        <v>540</v>
      </c>
      <c r="R372" s="40"/>
      <c r="S372" s="38">
        <v>231.35</v>
      </c>
      <c r="T372" s="39">
        <v>19.318608826353806</v>
      </c>
      <c r="U372" s="39">
        <v>11.813698677926254</v>
      </c>
      <c r="V372" s="38" t="s">
        <v>539</v>
      </c>
      <c r="W372" s="38">
        <v>192.07</v>
      </c>
      <c r="X372" s="38">
        <v>211.25</v>
      </c>
      <c r="Y372" s="39" t="s">
        <v>540</v>
      </c>
      <c r="Z372" s="39" t="s">
        <v>540</v>
      </c>
      <c r="AA372" s="41" t="s">
        <v>540</v>
      </c>
      <c r="AB372" s="42" t="s">
        <v>540</v>
      </c>
      <c r="AC372" s="40"/>
      <c r="AD372" s="43">
        <v>103.41669999999999</v>
      </c>
      <c r="AE372" s="39">
        <v>8.2330716902144339</v>
      </c>
      <c r="AF372" s="39">
        <v>53.437240356083279</v>
      </c>
      <c r="AG372" s="43" t="s">
        <v>539</v>
      </c>
      <c r="AH372" s="43">
        <v>95.550000000000097</v>
      </c>
      <c r="AI372" s="43">
        <v>67.399999999999906</v>
      </c>
      <c r="AJ372" s="39" t="s">
        <v>539</v>
      </c>
      <c r="AK372" s="39" t="s">
        <v>539</v>
      </c>
      <c r="AL372" s="44"/>
      <c r="AM372" s="43">
        <v>103.41669999999999</v>
      </c>
      <c r="AN372" s="39">
        <v>30.874082510756761</v>
      </c>
      <c r="AO372" s="39">
        <v>97.171973307912268</v>
      </c>
      <c r="AP372" s="43" t="s">
        <v>539</v>
      </c>
      <c r="AQ372" s="43">
        <v>79.02</v>
      </c>
      <c r="AR372" s="43">
        <v>52.45</v>
      </c>
      <c r="AS372" s="39" t="s">
        <v>539</v>
      </c>
      <c r="AT372" s="39" t="s">
        <v>539</v>
      </c>
      <c r="AU372" s="1">
        <v>35374.713254975002</v>
      </c>
    </row>
    <row r="373" spans="2:47" ht="18" customHeight="1" x14ac:dyDescent="0.25">
      <c r="B373" s="2">
        <f>IF(G373=$B$6,MAX(B$7:B372)+1,IF($B$6="Nifty 500 - All Sector",B372+1,0))</f>
        <v>0</v>
      </c>
      <c r="C373" s="36">
        <v>45107</v>
      </c>
      <c r="D373" s="36" t="s">
        <v>392</v>
      </c>
      <c r="E373" s="36" t="s">
        <v>527</v>
      </c>
      <c r="F373" s="36" t="s">
        <v>925</v>
      </c>
      <c r="G373" s="36" t="s">
        <v>616</v>
      </c>
      <c r="H373" s="36" t="s">
        <v>529</v>
      </c>
      <c r="I373" s="37" t="s">
        <v>540</v>
      </c>
      <c r="J373" s="38">
        <v>2267.96</v>
      </c>
      <c r="K373" s="39">
        <v>53.714354652652283</v>
      </c>
      <c r="L373" s="39">
        <v>5.4291385618058907</v>
      </c>
      <c r="M373" s="38" t="s">
        <v>539</v>
      </c>
      <c r="N373" s="38">
        <v>1475.4380000000001</v>
      </c>
      <c r="O373" s="38">
        <v>2151.17</v>
      </c>
      <c r="P373" s="39" t="s">
        <v>540</v>
      </c>
      <c r="Q373" s="39" t="s">
        <v>540</v>
      </c>
      <c r="R373" s="40"/>
      <c r="S373" s="38">
        <v>436.68</v>
      </c>
      <c r="T373" s="39">
        <v>19.254307836117039</v>
      </c>
      <c r="U373" s="39">
        <v>-499.0763796848899</v>
      </c>
      <c r="V373" s="38" t="s">
        <v>539</v>
      </c>
      <c r="W373" s="38">
        <v>357.721</v>
      </c>
      <c r="X373" s="38">
        <v>367.23700000000002</v>
      </c>
      <c r="Y373" s="39" t="s">
        <v>540</v>
      </c>
      <c r="Z373" s="39" t="s">
        <v>540</v>
      </c>
      <c r="AA373" s="41" t="s">
        <v>540</v>
      </c>
      <c r="AB373" s="42" t="s">
        <v>540</v>
      </c>
      <c r="AC373" s="40"/>
      <c r="AD373" s="43">
        <v>261.60000000000002</v>
      </c>
      <c r="AE373" s="39">
        <v>33.306155727680384</v>
      </c>
      <c r="AF373" s="39">
        <v>101.30509726668309</v>
      </c>
      <c r="AG373" s="43" t="s">
        <v>539</v>
      </c>
      <c r="AH373" s="43">
        <v>196.24</v>
      </c>
      <c r="AI373" s="43">
        <v>129.952</v>
      </c>
      <c r="AJ373" s="39" t="s">
        <v>539</v>
      </c>
      <c r="AK373" s="39" t="s">
        <v>539</v>
      </c>
      <c r="AL373" s="44"/>
      <c r="AM373" s="43">
        <v>261.60000000000002</v>
      </c>
      <c r="AN373" s="39">
        <v>32.64912885625624</v>
      </c>
      <c r="AO373" s="39">
        <v>106.47361068358867</v>
      </c>
      <c r="AP373" s="43" t="s">
        <v>539</v>
      </c>
      <c r="AQ373" s="43">
        <v>197.21199999999999</v>
      </c>
      <c r="AR373" s="43">
        <v>126.699</v>
      </c>
      <c r="AS373" s="39" t="s">
        <v>539</v>
      </c>
      <c r="AT373" s="39" t="s">
        <v>539</v>
      </c>
      <c r="AU373" s="1">
        <v>36728.745498900003</v>
      </c>
    </row>
    <row r="374" spans="2:47" ht="18" customHeight="1" x14ac:dyDescent="0.25">
      <c r="B374" s="2">
        <f>IF(G374=$B$6,MAX(B$7:B373)+1,IF($B$6="Nifty 500 - All Sector",B373+1,0))</f>
        <v>0</v>
      </c>
      <c r="C374" s="36">
        <v>13504</v>
      </c>
      <c r="D374" s="36" t="s">
        <v>393</v>
      </c>
      <c r="E374" s="36" t="s">
        <v>527</v>
      </c>
      <c r="F374" s="36" t="s">
        <v>926</v>
      </c>
      <c r="G374" s="36" t="s">
        <v>616</v>
      </c>
      <c r="H374" s="36" t="s">
        <v>535</v>
      </c>
      <c r="I374" s="37" t="s">
        <v>540</v>
      </c>
      <c r="J374" s="38">
        <v>1346.2333333333333</v>
      </c>
      <c r="K374" s="39">
        <v>15.022371077941333</v>
      </c>
      <c r="L374" s="39">
        <v>-2.0807269694412822</v>
      </c>
      <c r="M374" s="38" t="s">
        <v>539</v>
      </c>
      <c r="N374" s="38">
        <v>1170.4100000000001</v>
      </c>
      <c r="O374" s="38">
        <v>1374.84</v>
      </c>
      <c r="P374" s="39" t="s">
        <v>540</v>
      </c>
      <c r="Q374" s="39" t="s">
        <v>540</v>
      </c>
      <c r="R374" s="40"/>
      <c r="S374" s="38">
        <v>350.12</v>
      </c>
      <c r="T374" s="39">
        <v>26.007378611929582</v>
      </c>
      <c r="U374" s="39">
        <v>61.883955296734072</v>
      </c>
      <c r="V374" s="38" t="s">
        <v>539</v>
      </c>
      <c r="W374" s="38">
        <v>297.14999999999998</v>
      </c>
      <c r="X374" s="38">
        <v>382.24</v>
      </c>
      <c r="Y374" s="39" t="s">
        <v>540</v>
      </c>
      <c r="Z374" s="39" t="s">
        <v>540</v>
      </c>
      <c r="AA374" s="41" t="s">
        <v>540</v>
      </c>
      <c r="AB374" s="42" t="s">
        <v>540</v>
      </c>
      <c r="AC374" s="40"/>
      <c r="AD374" s="43">
        <v>251.35999999999999</v>
      </c>
      <c r="AE374" s="39">
        <v>11.586611027257398</v>
      </c>
      <c r="AF374" s="39">
        <v>-8.1857033276107707</v>
      </c>
      <c r="AG374" s="43" t="s">
        <v>539</v>
      </c>
      <c r="AH374" s="43">
        <v>225.26</v>
      </c>
      <c r="AI374" s="43">
        <v>273.77</v>
      </c>
      <c r="AJ374" s="39" t="s">
        <v>539</v>
      </c>
      <c r="AK374" s="39" t="s">
        <v>539</v>
      </c>
      <c r="AL374" s="44"/>
      <c r="AM374" s="43">
        <v>251.35999999999999</v>
      </c>
      <c r="AN374" s="39">
        <v>11.586611027257398</v>
      </c>
      <c r="AO374" s="39">
        <v>-8.1857033276107707</v>
      </c>
      <c r="AP374" s="43" t="s">
        <v>539</v>
      </c>
      <c r="AQ374" s="43">
        <v>225.26</v>
      </c>
      <c r="AR374" s="43">
        <v>273.77</v>
      </c>
      <c r="AS374" s="39" t="s">
        <v>539</v>
      </c>
      <c r="AT374" s="39" t="s">
        <v>539</v>
      </c>
      <c r="AU374" s="1">
        <v>36083.282245560004</v>
      </c>
    </row>
    <row r="375" spans="2:47" ht="18" customHeight="1" x14ac:dyDescent="0.25">
      <c r="B375" s="2">
        <f>IF(G375=$B$6,MAX(B$7:B374)+1,IF($B$6="Nifty 500 - All Sector",B374+1,0))</f>
        <v>0</v>
      </c>
      <c r="C375" s="36">
        <v>303</v>
      </c>
      <c r="D375" s="36" t="s">
        <v>394</v>
      </c>
      <c r="E375" s="36" t="s">
        <v>527</v>
      </c>
      <c r="F375" s="36" t="s">
        <v>927</v>
      </c>
      <c r="G375" s="36" t="s">
        <v>616</v>
      </c>
      <c r="H375" s="36" t="s">
        <v>529</v>
      </c>
      <c r="I375" s="37" t="s">
        <v>540</v>
      </c>
      <c r="J375" s="38">
        <v>1048.1666666666665</v>
      </c>
      <c r="K375" s="39">
        <v>10.393759391105295</v>
      </c>
      <c r="L375" s="39">
        <v>-1.5547123500388338</v>
      </c>
      <c r="M375" s="38" t="s">
        <v>539</v>
      </c>
      <c r="N375" s="38">
        <v>949.48</v>
      </c>
      <c r="O375" s="38">
        <v>1064.72</v>
      </c>
      <c r="P375" s="39" t="s">
        <v>540</v>
      </c>
      <c r="Q375" s="39" t="s">
        <v>540</v>
      </c>
      <c r="R375" s="40"/>
      <c r="S375" s="38">
        <v>243.65</v>
      </c>
      <c r="T375" s="39">
        <v>23.245349022102086</v>
      </c>
      <c r="U375" s="39">
        <v>-60.349455543509123</v>
      </c>
      <c r="V375" s="38" t="s">
        <v>539</v>
      </c>
      <c r="W375" s="38">
        <v>226.44</v>
      </c>
      <c r="X375" s="38">
        <v>295.82</v>
      </c>
      <c r="Y375" s="39" t="s">
        <v>540</v>
      </c>
      <c r="Z375" s="39" t="s">
        <v>540</v>
      </c>
      <c r="AA375" s="41" t="s">
        <v>540</v>
      </c>
      <c r="AB375" s="42" t="s">
        <v>540</v>
      </c>
      <c r="AC375" s="40"/>
      <c r="AD375" s="43">
        <v>158.44999999999999</v>
      </c>
      <c r="AE375" s="39">
        <v>8.7583224655089609</v>
      </c>
      <c r="AF375" s="39">
        <v>-19.930264288240942</v>
      </c>
      <c r="AG375" s="43" t="s">
        <v>539</v>
      </c>
      <c r="AH375" s="43">
        <v>145.69</v>
      </c>
      <c r="AI375" s="43">
        <v>197.89</v>
      </c>
      <c r="AJ375" s="39" t="s">
        <v>539</v>
      </c>
      <c r="AK375" s="39" t="s">
        <v>539</v>
      </c>
      <c r="AL375" s="44"/>
      <c r="AM375" s="43">
        <v>158.44999999999999</v>
      </c>
      <c r="AN375" s="39">
        <v>8.7583224655089609</v>
      </c>
      <c r="AO375" s="39">
        <v>-19.930264288240942</v>
      </c>
      <c r="AP375" s="43" t="s">
        <v>539</v>
      </c>
      <c r="AQ375" s="43">
        <v>145.69</v>
      </c>
      <c r="AR375" s="43">
        <v>197.89</v>
      </c>
      <c r="AS375" s="39" t="s">
        <v>539</v>
      </c>
      <c r="AT375" s="39" t="s">
        <v>539</v>
      </c>
      <c r="AU375" s="1">
        <v>31758.512046799999</v>
      </c>
    </row>
    <row r="376" spans="2:47" ht="18" customHeight="1" x14ac:dyDescent="0.25">
      <c r="B376" s="2">
        <f>IF(G376=$B$6,MAX(B$7:B375)+1,IF($B$6="Nifty 500 - All Sector",B375+1,0))</f>
        <v>0</v>
      </c>
      <c r="C376" s="36">
        <v>16966</v>
      </c>
      <c r="D376" s="36" t="s">
        <v>395</v>
      </c>
      <c r="E376" s="36" t="s">
        <v>527</v>
      </c>
      <c r="F376" s="36" t="s">
        <v>928</v>
      </c>
      <c r="G376" s="36" t="s">
        <v>616</v>
      </c>
      <c r="H376" s="36" t="s">
        <v>529</v>
      </c>
      <c r="I376" s="37" t="s">
        <v>540</v>
      </c>
      <c r="J376" s="38">
        <v>2443.1</v>
      </c>
      <c r="K376" s="39">
        <v>15.445045351554288</v>
      </c>
      <c r="L376" s="39">
        <v>3.3688487897919783</v>
      </c>
      <c r="M376" s="38" t="s">
        <v>539</v>
      </c>
      <c r="N376" s="38">
        <v>2116.2449999999999</v>
      </c>
      <c r="O376" s="38">
        <v>2363.4780000000001</v>
      </c>
      <c r="P376" s="39" t="s">
        <v>540</v>
      </c>
      <c r="Q376" s="39" t="s">
        <v>540</v>
      </c>
      <c r="R376" s="40"/>
      <c r="S376" s="38">
        <v>486.4</v>
      </c>
      <c r="T376" s="39">
        <v>19.909131840694201</v>
      </c>
      <c r="U376" s="39">
        <v>89.432022861715055</v>
      </c>
      <c r="V376" s="38" t="s">
        <v>539</v>
      </c>
      <c r="W376" s="38">
        <v>402.4</v>
      </c>
      <c r="X376" s="38">
        <v>492.74400000000003</v>
      </c>
      <c r="Y376" s="39" t="s">
        <v>540</v>
      </c>
      <c r="Z376" s="39" t="s">
        <v>540</v>
      </c>
      <c r="AA376" s="41" t="s">
        <v>540</v>
      </c>
      <c r="AB376" s="42" t="s">
        <v>540</v>
      </c>
      <c r="AC376" s="40"/>
      <c r="AD376" s="43">
        <v>271.7</v>
      </c>
      <c r="AE376" s="39">
        <v>37.753058503222015</v>
      </c>
      <c r="AF376" s="39">
        <v>17.430954747806538</v>
      </c>
      <c r="AG376" s="43" t="s">
        <v>539</v>
      </c>
      <c r="AH376" s="43">
        <v>197.23699999999999</v>
      </c>
      <c r="AI376" s="43">
        <v>231.37</v>
      </c>
      <c r="AJ376" s="39" t="s">
        <v>539</v>
      </c>
      <c r="AK376" s="39" t="s">
        <v>539</v>
      </c>
      <c r="AL376" s="44"/>
      <c r="AM376" s="43">
        <v>271.7</v>
      </c>
      <c r="AN376" s="39">
        <v>43.78932773064772</v>
      </c>
      <c r="AO376" s="39">
        <v>17.853223504712833</v>
      </c>
      <c r="AP376" s="43" t="s">
        <v>539</v>
      </c>
      <c r="AQ376" s="43">
        <v>188.95699999999999</v>
      </c>
      <c r="AR376" s="43">
        <v>230.541</v>
      </c>
      <c r="AS376" s="39" t="s">
        <v>539</v>
      </c>
      <c r="AT376" s="39" t="s">
        <v>539</v>
      </c>
      <c r="AU376" s="1">
        <v>31193.16816791</v>
      </c>
    </row>
    <row r="377" spans="2:47" ht="18" customHeight="1" x14ac:dyDescent="0.25">
      <c r="B377" s="2">
        <f>IF(G377=$B$6,MAX(B$7:B376)+1,IF($B$6="Nifty 500 - All Sector",B376+1,0))</f>
        <v>0</v>
      </c>
      <c r="C377" s="36">
        <v>14546</v>
      </c>
      <c r="D377" s="36" t="s">
        <v>396</v>
      </c>
      <c r="E377" s="36" t="s">
        <v>527</v>
      </c>
      <c r="F377" s="36" t="s">
        <v>929</v>
      </c>
      <c r="G377" s="36" t="s">
        <v>616</v>
      </c>
      <c r="H377" s="36" t="s">
        <v>529</v>
      </c>
      <c r="I377" s="37" t="s">
        <v>540</v>
      </c>
      <c r="J377" s="38">
        <v>1666.7</v>
      </c>
      <c r="K377" s="39">
        <v>16.968873099966373</v>
      </c>
      <c r="L377" s="39">
        <v>-1.6906703756068731</v>
      </c>
      <c r="M377" s="38" t="s">
        <v>539</v>
      </c>
      <c r="N377" s="38">
        <v>1424.9090000000001</v>
      </c>
      <c r="O377" s="38">
        <v>1695.3630000000001</v>
      </c>
      <c r="P377" s="39" t="s">
        <v>540</v>
      </c>
      <c r="Q377" s="39" t="s">
        <v>540</v>
      </c>
      <c r="R377" s="40"/>
      <c r="S377" s="38">
        <v>417.2</v>
      </c>
      <c r="T377" s="39">
        <v>25.0314993700126</v>
      </c>
      <c r="U377" s="39">
        <v>64.292438031150567</v>
      </c>
      <c r="V377" s="38" t="s">
        <v>539</v>
      </c>
      <c r="W377" s="38">
        <v>347.51499999999999</v>
      </c>
      <c r="X377" s="38">
        <v>434.87599999999998</v>
      </c>
      <c r="Y377" s="39" t="s">
        <v>540</v>
      </c>
      <c r="Z377" s="39" t="s">
        <v>540</v>
      </c>
      <c r="AA377" s="41" t="s">
        <v>540</v>
      </c>
      <c r="AB377" s="42" t="s">
        <v>540</v>
      </c>
      <c r="AC377" s="40"/>
      <c r="AD377" s="43">
        <v>254.08</v>
      </c>
      <c r="AE377" s="39">
        <v>36.205981526849328</v>
      </c>
      <c r="AF377" s="39">
        <v>-2.8281862510756373</v>
      </c>
      <c r="AG377" s="43" t="s">
        <v>539</v>
      </c>
      <c r="AH377" s="43">
        <v>186.541</v>
      </c>
      <c r="AI377" s="43">
        <v>261.47500000000002</v>
      </c>
      <c r="AJ377" s="39" t="s">
        <v>539</v>
      </c>
      <c r="AK377" s="39" t="s">
        <v>539</v>
      </c>
      <c r="AL377" s="44"/>
      <c r="AM377" s="43">
        <v>254.08</v>
      </c>
      <c r="AN377" s="39">
        <v>36.205981526849328</v>
      </c>
      <c r="AO377" s="39">
        <v>-2.8281862510756373</v>
      </c>
      <c r="AP377" s="43" t="s">
        <v>539</v>
      </c>
      <c r="AQ377" s="43">
        <v>186.541</v>
      </c>
      <c r="AR377" s="43">
        <v>261.47500000000002</v>
      </c>
      <c r="AS377" s="39" t="s">
        <v>539</v>
      </c>
      <c r="AT377" s="39" t="s">
        <v>539</v>
      </c>
      <c r="AU377" s="1">
        <v>28931.2278788</v>
      </c>
    </row>
    <row r="378" spans="2:47" ht="18" customHeight="1" x14ac:dyDescent="0.25">
      <c r="B378" s="2">
        <f>IF(G378=$B$6,MAX(B$7:B377)+1,IF($B$6="Nifty 500 - All Sector",B377+1,0))</f>
        <v>0</v>
      </c>
      <c r="C378" s="36">
        <v>34649</v>
      </c>
      <c r="D378" s="36" t="s">
        <v>397</v>
      </c>
      <c r="E378" s="36" t="s">
        <v>527</v>
      </c>
      <c r="F378" s="36" t="s">
        <v>930</v>
      </c>
      <c r="G378" s="36" t="s">
        <v>616</v>
      </c>
      <c r="H378" s="36" t="s">
        <v>535</v>
      </c>
      <c r="I378" s="37" t="s">
        <v>540</v>
      </c>
      <c r="J378" s="38">
        <v>1127.1799999999998</v>
      </c>
      <c r="K378" s="39">
        <v>21.039853014291587</v>
      </c>
      <c r="L378" s="39">
        <v>0.54707786560239668</v>
      </c>
      <c r="M378" s="38" t="s">
        <v>539</v>
      </c>
      <c r="N378" s="38">
        <v>931.24699999999996</v>
      </c>
      <c r="O378" s="38">
        <v>1121.047</v>
      </c>
      <c r="P378" s="39" t="s">
        <v>540</v>
      </c>
      <c r="Q378" s="39" t="s">
        <v>540</v>
      </c>
      <c r="R378" s="40"/>
      <c r="S378" s="38">
        <v>234.32</v>
      </c>
      <c r="T378" s="39">
        <v>20.788161606841857</v>
      </c>
      <c r="U378" s="39">
        <v>-333.94865896087077</v>
      </c>
      <c r="V378" s="38" t="s">
        <v>539</v>
      </c>
      <c r="W378" s="38">
        <v>224.68799999999999</v>
      </c>
      <c r="X378" s="38">
        <v>217.29599999999999</v>
      </c>
      <c r="Y378" s="39" t="s">
        <v>540</v>
      </c>
      <c r="Z378" s="39" t="s">
        <v>540</v>
      </c>
      <c r="AA378" s="41" t="s">
        <v>540</v>
      </c>
      <c r="AB378" s="42" t="s">
        <v>540</v>
      </c>
      <c r="AC378" s="40"/>
      <c r="AD378" s="43">
        <v>123.12219999999999</v>
      </c>
      <c r="AE378" s="39">
        <v>21.448637771508604</v>
      </c>
      <c r="AF378" s="39">
        <v>29.557311670682939</v>
      </c>
      <c r="AG378" s="43" t="s">
        <v>539</v>
      </c>
      <c r="AH378" s="43">
        <v>101.378</v>
      </c>
      <c r="AI378" s="43">
        <v>95.032999999999902</v>
      </c>
      <c r="AJ378" s="39" t="s">
        <v>539</v>
      </c>
      <c r="AK378" s="39" t="s">
        <v>539</v>
      </c>
      <c r="AL378" s="44"/>
      <c r="AM378" s="43">
        <v>123.12219999999999</v>
      </c>
      <c r="AN378" s="39">
        <v>21.422287968441811</v>
      </c>
      <c r="AO378" s="39">
        <v>29.572309570415257</v>
      </c>
      <c r="AP378" s="43" t="s">
        <v>539</v>
      </c>
      <c r="AQ378" s="43">
        <v>101.4</v>
      </c>
      <c r="AR378" s="43">
        <v>95.022000000000006</v>
      </c>
      <c r="AS378" s="39" t="s">
        <v>539</v>
      </c>
      <c r="AT378" s="39" t="s">
        <v>539</v>
      </c>
      <c r="AU378" s="1">
        <v>29243.049609689999</v>
      </c>
    </row>
    <row r="379" spans="2:47" ht="18" customHeight="1" x14ac:dyDescent="0.25">
      <c r="B379" s="2">
        <f>IF(G379=$B$6,MAX(B$7:B378)+1,IF($B$6="Nifty 500 - All Sector",B378+1,0))</f>
        <v>0</v>
      </c>
      <c r="C379" s="36">
        <v>34776</v>
      </c>
      <c r="D379" s="36" t="s">
        <v>398</v>
      </c>
      <c r="E379" s="36" t="s">
        <v>527</v>
      </c>
      <c r="F379" s="36" t="s">
        <v>931</v>
      </c>
      <c r="G379" s="36" t="s">
        <v>616</v>
      </c>
      <c r="H379" s="36" t="s">
        <v>529</v>
      </c>
      <c r="I379" s="37" t="s">
        <v>540</v>
      </c>
      <c r="J379" s="38">
        <v>1073.1714285714284</v>
      </c>
      <c r="K379" s="39">
        <v>34.668268110356173</v>
      </c>
      <c r="L379" s="39">
        <v>7.5645413021377506</v>
      </c>
      <c r="M379" s="38" t="s">
        <v>539</v>
      </c>
      <c r="N379" s="38">
        <v>796.9</v>
      </c>
      <c r="O379" s="38">
        <v>997.7</v>
      </c>
      <c r="P379" s="39" t="s">
        <v>540</v>
      </c>
      <c r="Q379" s="39" t="s">
        <v>540</v>
      </c>
      <c r="R379" s="40"/>
      <c r="S379" s="38">
        <v>219</v>
      </c>
      <c r="T379" s="39">
        <v>20.406804930646153</v>
      </c>
      <c r="U379" s="39">
        <v>-443.94744017669473</v>
      </c>
      <c r="V379" s="38" t="s">
        <v>539</v>
      </c>
      <c r="W379" s="38">
        <v>198</v>
      </c>
      <c r="X379" s="38">
        <v>198.9</v>
      </c>
      <c r="Y379" s="39" t="s">
        <v>540</v>
      </c>
      <c r="Z379" s="39" t="s">
        <v>540</v>
      </c>
      <c r="AA379" s="41" t="s">
        <v>540</v>
      </c>
      <c r="AB379" s="42" t="s">
        <v>540</v>
      </c>
      <c r="AC379" s="40"/>
      <c r="AD379" s="43">
        <v>75.471400000000003</v>
      </c>
      <c r="AE379" s="39">
        <v>-28.867672007540047</v>
      </c>
      <c r="AF379" s="39">
        <v>45.416955684007718</v>
      </c>
      <c r="AG379" s="43" t="s">
        <v>539</v>
      </c>
      <c r="AH379" s="43">
        <v>106.1</v>
      </c>
      <c r="AI379" s="43">
        <v>51.9</v>
      </c>
      <c r="AJ379" s="39" t="s">
        <v>539</v>
      </c>
      <c r="AK379" s="39" t="s">
        <v>539</v>
      </c>
      <c r="AL379" s="44"/>
      <c r="AM379" s="43">
        <v>75.471400000000003</v>
      </c>
      <c r="AN379" s="39">
        <v>-25.86306483300589</v>
      </c>
      <c r="AO379" s="39">
        <v>41.332209737827718</v>
      </c>
      <c r="AP379" s="43" t="s">
        <v>539</v>
      </c>
      <c r="AQ379" s="43">
        <v>101.8</v>
      </c>
      <c r="AR379" s="43">
        <v>53.4</v>
      </c>
      <c r="AS379" s="39" t="s">
        <v>539</v>
      </c>
      <c r="AT379" s="39" t="s">
        <v>539</v>
      </c>
      <c r="AU379" s="1">
        <v>26653.254460349999</v>
      </c>
    </row>
    <row r="380" spans="2:47" ht="18" customHeight="1" x14ac:dyDescent="0.25">
      <c r="B380" s="2">
        <f>IF(G380=$B$6,MAX(B$7:B379)+1,IF($B$6="Nifty 500 - All Sector",B379+1,0))</f>
        <v>0</v>
      </c>
      <c r="C380" s="36">
        <v>434</v>
      </c>
      <c r="D380" s="36" t="s">
        <v>399</v>
      </c>
      <c r="E380" s="36" t="s">
        <v>533</v>
      </c>
      <c r="F380" s="36" t="s">
        <v>932</v>
      </c>
      <c r="G380" s="36" t="s">
        <v>616</v>
      </c>
      <c r="H380" s="36" t="s">
        <v>529</v>
      </c>
      <c r="I380" s="37" t="s">
        <v>540</v>
      </c>
      <c r="J380" s="38">
        <v>623.9666666666667</v>
      </c>
      <c r="K380" s="39">
        <v>5.4158008255759782</v>
      </c>
      <c r="L380" s="39">
        <v>-3.2654811920892479</v>
      </c>
      <c r="M380" s="38" t="s">
        <v>539</v>
      </c>
      <c r="N380" s="38">
        <v>591.91</v>
      </c>
      <c r="O380" s="38">
        <v>645.03</v>
      </c>
      <c r="P380" s="39" t="s">
        <v>540</v>
      </c>
      <c r="Q380" s="39" t="s">
        <v>540</v>
      </c>
      <c r="R380" s="40"/>
      <c r="S380" s="38">
        <v>248.3</v>
      </c>
      <c r="T380" s="39">
        <v>39.793792403440357</v>
      </c>
      <c r="U380" s="39">
        <v>135.88952062313169</v>
      </c>
      <c r="V380" s="38" t="s">
        <v>539</v>
      </c>
      <c r="W380" s="38">
        <v>227.5</v>
      </c>
      <c r="X380" s="38">
        <v>228.19</v>
      </c>
      <c r="Y380" s="39" t="s">
        <v>540</v>
      </c>
      <c r="Z380" s="39" t="s">
        <v>540</v>
      </c>
      <c r="AA380" s="41" t="s">
        <v>540</v>
      </c>
      <c r="AB380" s="42" t="s">
        <v>540</v>
      </c>
      <c r="AC380" s="40"/>
      <c r="AD380" s="43">
        <v>217.2</v>
      </c>
      <c r="AE380" s="39">
        <v>-34.368767752462681</v>
      </c>
      <c r="AF380" s="39">
        <v>53.130287648054143</v>
      </c>
      <c r="AG380" s="43" t="s">
        <v>539</v>
      </c>
      <c r="AH380" s="43">
        <v>330.94</v>
      </c>
      <c r="AI380" s="43">
        <v>141.84</v>
      </c>
      <c r="AJ380" s="39" t="s">
        <v>539</v>
      </c>
      <c r="AK380" s="39" t="s">
        <v>539</v>
      </c>
      <c r="AL380" s="44"/>
      <c r="AM380" s="43">
        <v>217.2</v>
      </c>
      <c r="AN380" s="39">
        <v>-34.368767752462681</v>
      </c>
      <c r="AO380" s="39">
        <v>53.130287648054143</v>
      </c>
      <c r="AP380" s="43" t="s">
        <v>539</v>
      </c>
      <c r="AQ380" s="43">
        <v>330.94</v>
      </c>
      <c r="AR380" s="43">
        <v>141.84</v>
      </c>
      <c r="AS380" s="39" t="s">
        <v>539</v>
      </c>
      <c r="AT380" s="39" t="s">
        <v>539</v>
      </c>
      <c r="AU380" s="1">
        <v>22413.872554739999</v>
      </c>
    </row>
    <row r="381" spans="2:47" ht="18" customHeight="1" x14ac:dyDescent="0.25">
      <c r="B381" s="2">
        <f>IF(G381=$B$6,MAX(B$7:B380)+1,IF($B$6="Nifty 500 - All Sector",B380+1,0))</f>
        <v>0</v>
      </c>
      <c r="C381" s="36">
        <v>8021</v>
      </c>
      <c r="D381" s="36" t="s">
        <v>400</v>
      </c>
      <c r="E381" s="36" t="s">
        <v>527</v>
      </c>
      <c r="F381" s="36" t="s">
        <v>933</v>
      </c>
      <c r="G381" s="36" t="s">
        <v>616</v>
      </c>
      <c r="H381" s="36" t="s">
        <v>529</v>
      </c>
      <c r="I381" s="37" t="s">
        <v>540</v>
      </c>
      <c r="J381" s="38" t="s">
        <v>539</v>
      </c>
      <c r="K381" s="39" t="s">
        <v>540</v>
      </c>
      <c r="L381" s="39" t="s">
        <v>540</v>
      </c>
      <c r="M381" s="38" t="s">
        <v>539</v>
      </c>
      <c r="N381" s="38">
        <v>743</v>
      </c>
      <c r="O381" s="38">
        <v>888</v>
      </c>
      <c r="P381" s="39" t="s">
        <v>540</v>
      </c>
      <c r="Q381" s="39" t="s">
        <v>540</v>
      </c>
      <c r="R381" s="40"/>
      <c r="S381" s="38" t="s">
        <v>539</v>
      </c>
      <c r="T381" s="39" t="s">
        <v>540</v>
      </c>
      <c r="U381" s="39" t="s">
        <v>540</v>
      </c>
      <c r="V381" s="38" t="s">
        <v>539</v>
      </c>
      <c r="W381" s="38">
        <v>64</v>
      </c>
      <c r="X381" s="38">
        <v>177</v>
      </c>
      <c r="Y381" s="39" t="s">
        <v>540</v>
      </c>
      <c r="Z381" s="39" t="s">
        <v>540</v>
      </c>
      <c r="AA381" s="41" t="s">
        <v>540</v>
      </c>
      <c r="AB381" s="42" t="s">
        <v>540</v>
      </c>
      <c r="AC381" s="40"/>
      <c r="AD381" s="43" t="s">
        <v>540</v>
      </c>
      <c r="AE381" s="39" t="s">
        <v>547</v>
      </c>
      <c r="AF381" s="39" t="s">
        <v>539</v>
      </c>
      <c r="AG381" s="43" t="s">
        <v>539</v>
      </c>
      <c r="AH381" s="43">
        <v>-45</v>
      </c>
      <c r="AI381" s="43">
        <v>61</v>
      </c>
      <c r="AJ381" s="39" t="s">
        <v>547</v>
      </c>
      <c r="AK381" s="39" t="s">
        <v>539</v>
      </c>
      <c r="AL381" s="44"/>
      <c r="AM381" s="43" t="s">
        <v>539</v>
      </c>
      <c r="AN381" s="39" t="s">
        <v>547</v>
      </c>
      <c r="AO381" s="39" t="s">
        <v>539</v>
      </c>
      <c r="AP381" s="43" t="s">
        <v>539</v>
      </c>
      <c r="AQ381" s="43">
        <v>-25</v>
      </c>
      <c r="AR381" s="43">
        <v>59</v>
      </c>
      <c r="AS381" s="39" t="s">
        <v>547</v>
      </c>
      <c r="AT381" s="39" t="s">
        <v>539</v>
      </c>
      <c r="AU381" s="1">
        <v>21974.628474714998</v>
      </c>
    </row>
    <row r="382" spans="2:47" ht="18" customHeight="1" x14ac:dyDescent="0.25">
      <c r="B382" s="2">
        <f>IF(G382=$B$6,MAX(B$7:B381)+1,IF($B$6="Nifty 500 - All Sector",B381+1,0))</f>
        <v>0</v>
      </c>
      <c r="C382" s="36">
        <v>68121</v>
      </c>
      <c r="D382" s="36" t="s">
        <v>401</v>
      </c>
      <c r="E382" s="36" t="s">
        <v>527</v>
      </c>
      <c r="F382" s="36" t="s">
        <v>934</v>
      </c>
      <c r="G382" s="36" t="s">
        <v>616</v>
      </c>
      <c r="H382" s="36" t="s">
        <v>529</v>
      </c>
      <c r="I382" s="37" t="s">
        <v>540</v>
      </c>
      <c r="J382" s="38">
        <v>638.6</v>
      </c>
      <c r="K382" s="39">
        <v>10.197115824312753</v>
      </c>
      <c r="L382" s="39">
        <v>14.760343885678129</v>
      </c>
      <c r="M382" s="38" t="s">
        <v>539</v>
      </c>
      <c r="N382" s="38">
        <v>579.50699999999995</v>
      </c>
      <c r="O382" s="38">
        <v>556.46400000000006</v>
      </c>
      <c r="P382" s="39" t="s">
        <v>540</v>
      </c>
      <c r="Q382" s="39" t="s">
        <v>540</v>
      </c>
      <c r="R382" s="40"/>
      <c r="S382" s="38">
        <v>205.5</v>
      </c>
      <c r="T382" s="39">
        <v>32.179768243031631</v>
      </c>
      <c r="U382" s="39">
        <v>498.88973821101922</v>
      </c>
      <c r="V382" s="38" t="s">
        <v>539</v>
      </c>
      <c r="W382" s="38">
        <v>157.57300000000001</v>
      </c>
      <c r="X382" s="38">
        <v>187.85300000000001</v>
      </c>
      <c r="Y382" s="39" t="s">
        <v>540</v>
      </c>
      <c r="Z382" s="39" t="s">
        <v>540</v>
      </c>
      <c r="AA382" s="41" t="s">
        <v>540</v>
      </c>
      <c r="AB382" s="42" t="s">
        <v>540</v>
      </c>
      <c r="AC382" s="40"/>
      <c r="AD382" s="43">
        <v>115.5</v>
      </c>
      <c r="AE382" s="39">
        <v>30.850015294157629</v>
      </c>
      <c r="AF382" s="39">
        <v>15.068493150684926</v>
      </c>
      <c r="AG382" s="43" t="s">
        <v>539</v>
      </c>
      <c r="AH382" s="43">
        <v>88.269000000000005</v>
      </c>
      <c r="AI382" s="43">
        <v>100.375</v>
      </c>
      <c r="AJ382" s="39" t="s">
        <v>539</v>
      </c>
      <c r="AK382" s="39" t="s">
        <v>539</v>
      </c>
      <c r="AL382" s="44"/>
      <c r="AM382" s="43">
        <v>115.5</v>
      </c>
      <c r="AN382" s="39">
        <v>30.850015294157629</v>
      </c>
      <c r="AO382" s="39">
        <v>15.068493150684926</v>
      </c>
      <c r="AP382" s="43" t="s">
        <v>539</v>
      </c>
      <c r="AQ382" s="43">
        <v>88.269000000000005</v>
      </c>
      <c r="AR382" s="43">
        <v>100.375</v>
      </c>
      <c r="AS382" s="39" t="s">
        <v>539</v>
      </c>
      <c r="AT382" s="39" t="s">
        <v>539</v>
      </c>
      <c r="AU382" s="1">
        <v>20800.95636348</v>
      </c>
    </row>
    <row r="383" spans="2:47" ht="18" customHeight="1" x14ac:dyDescent="0.25">
      <c r="B383" s="2">
        <f>IF(G383=$B$6,MAX(B$7:B382)+1,IF($B$6="Nifty 500 - All Sector",B382+1,0))</f>
        <v>0</v>
      </c>
      <c r="C383" s="36">
        <v>76066</v>
      </c>
      <c r="D383" s="36" t="s">
        <v>402</v>
      </c>
      <c r="E383" s="36" t="s">
        <v>527</v>
      </c>
      <c r="F383" s="36" t="s">
        <v>935</v>
      </c>
      <c r="G383" s="36" t="s">
        <v>616</v>
      </c>
      <c r="H383" s="36" t="s">
        <v>529</v>
      </c>
      <c r="I383" s="37" t="s">
        <v>540</v>
      </c>
      <c r="J383" s="38">
        <v>2739.65</v>
      </c>
      <c r="K383" s="39">
        <v>-0.52358872505056109</v>
      </c>
      <c r="L383" s="39">
        <v>28.02880548818387</v>
      </c>
      <c r="M383" s="38" t="s">
        <v>539</v>
      </c>
      <c r="N383" s="38">
        <v>2754.07</v>
      </c>
      <c r="O383" s="38">
        <v>2139.87</v>
      </c>
      <c r="P383" s="39" t="s">
        <v>540</v>
      </c>
      <c r="Q383" s="39" t="s">
        <v>540</v>
      </c>
      <c r="R383" s="40"/>
      <c r="S383" s="38">
        <v>460.625</v>
      </c>
      <c r="T383" s="39">
        <v>16.81327906849415</v>
      </c>
      <c r="U383" s="39">
        <v>-355.62104506538719</v>
      </c>
      <c r="V383" s="38" t="s">
        <v>539</v>
      </c>
      <c r="W383" s="38">
        <v>560.99</v>
      </c>
      <c r="X383" s="38">
        <v>195.73</v>
      </c>
      <c r="Y383" s="39" t="s">
        <v>540</v>
      </c>
      <c r="Z383" s="39" t="s">
        <v>540</v>
      </c>
      <c r="AA383" s="41" t="s">
        <v>540</v>
      </c>
      <c r="AB383" s="42" t="s">
        <v>540</v>
      </c>
      <c r="AC383" s="40"/>
      <c r="AD383" s="43">
        <v>136</v>
      </c>
      <c r="AE383" s="39">
        <v>-0.93240093240093413</v>
      </c>
      <c r="AF383" s="39" t="s">
        <v>547</v>
      </c>
      <c r="AG383" s="43" t="s">
        <v>539</v>
      </c>
      <c r="AH383" s="43">
        <v>137.28</v>
      </c>
      <c r="AI383" s="43">
        <v>-146.44999999999999</v>
      </c>
      <c r="AJ383" s="39" t="s">
        <v>539</v>
      </c>
      <c r="AK383" s="39" t="s">
        <v>547</v>
      </c>
      <c r="AL383" s="44"/>
      <c r="AM383" s="43">
        <v>136</v>
      </c>
      <c r="AN383" s="39">
        <v>-11.400651465798051</v>
      </c>
      <c r="AO383" s="39" t="s">
        <v>547</v>
      </c>
      <c r="AP383" s="43" t="s">
        <v>539</v>
      </c>
      <c r="AQ383" s="43">
        <v>153.5</v>
      </c>
      <c r="AR383" s="43">
        <v>-136.19</v>
      </c>
      <c r="AS383" s="39" t="s">
        <v>539</v>
      </c>
      <c r="AT383" s="39" t="s">
        <v>547</v>
      </c>
      <c r="AU383" s="1">
        <v>19745.980971149998</v>
      </c>
    </row>
    <row r="384" spans="2:47" ht="18" customHeight="1" x14ac:dyDescent="0.25">
      <c r="B384" s="2">
        <f>IF(G384=$B$6,MAX(B$7:B383)+1,IF($B$6="Nifty 500 - All Sector",B383+1,0))</f>
        <v>0</v>
      </c>
      <c r="C384" s="36">
        <v>4684</v>
      </c>
      <c r="D384" s="36" t="s">
        <v>403</v>
      </c>
      <c r="E384" s="36" t="s">
        <v>527</v>
      </c>
      <c r="F384" s="36" t="s">
        <v>936</v>
      </c>
      <c r="G384" s="36" t="s">
        <v>616</v>
      </c>
      <c r="H384" s="36" t="s">
        <v>529</v>
      </c>
      <c r="I384" s="37" t="s">
        <v>540</v>
      </c>
      <c r="J384" s="38">
        <v>656.23333333333335</v>
      </c>
      <c r="K384" s="39">
        <v>-46.25443625443625</v>
      </c>
      <c r="L384" s="39">
        <v>1.3800916628044835</v>
      </c>
      <c r="M384" s="38" t="s">
        <v>539</v>
      </c>
      <c r="N384" s="38">
        <v>1221</v>
      </c>
      <c r="O384" s="38">
        <v>647.29999999999995</v>
      </c>
      <c r="P384" s="39" t="s">
        <v>540</v>
      </c>
      <c r="Q384" s="39" t="s">
        <v>540</v>
      </c>
      <c r="R384" s="40"/>
      <c r="S384" s="38">
        <v>153.05000000000001</v>
      </c>
      <c r="T384" s="39">
        <v>23.322497079290905</v>
      </c>
      <c r="U384" s="39">
        <v>-2156.6937810143991</v>
      </c>
      <c r="V384" s="38" t="s">
        <v>539</v>
      </c>
      <c r="W384" s="38">
        <v>548.1</v>
      </c>
      <c r="X384" s="38">
        <v>158.69999999999999</v>
      </c>
      <c r="Y384" s="39" t="s">
        <v>540</v>
      </c>
      <c r="Z384" s="39" t="s">
        <v>540</v>
      </c>
      <c r="AA384" s="41" t="s">
        <v>540</v>
      </c>
      <c r="AB384" s="42" t="s">
        <v>540</v>
      </c>
      <c r="AC384" s="40"/>
      <c r="AD384" s="43">
        <v>150.80000000000001</v>
      </c>
      <c r="AE384" s="39">
        <v>-62.857142857142854</v>
      </c>
      <c r="AF384" s="39">
        <v>7.4074074074074181</v>
      </c>
      <c r="AG384" s="43" t="s">
        <v>539</v>
      </c>
      <c r="AH384" s="43">
        <v>406</v>
      </c>
      <c r="AI384" s="43">
        <v>140.4</v>
      </c>
      <c r="AJ384" s="39" t="s">
        <v>539</v>
      </c>
      <c r="AK384" s="39" t="s">
        <v>539</v>
      </c>
      <c r="AL384" s="44"/>
      <c r="AM384" s="43">
        <v>150.80000000000001</v>
      </c>
      <c r="AN384" s="39">
        <v>-62.911952779144123</v>
      </c>
      <c r="AO384" s="39">
        <v>-0.46204620462045876</v>
      </c>
      <c r="AP384" s="43" t="s">
        <v>539</v>
      </c>
      <c r="AQ384" s="43">
        <v>406.6</v>
      </c>
      <c r="AR384" s="43">
        <v>151.5</v>
      </c>
      <c r="AS384" s="39" t="s">
        <v>539</v>
      </c>
      <c r="AT384" s="39" t="s">
        <v>539</v>
      </c>
      <c r="AU384" s="1">
        <v>19552.52895855</v>
      </c>
    </row>
    <row r="385" spans="2:47" ht="18" customHeight="1" x14ac:dyDescent="0.25">
      <c r="B385" s="2">
        <f>IF(G385=$B$6,MAX(B$7:B384)+1,IF($B$6="Nifty 500 - All Sector",B384+1,0))</f>
        <v>0</v>
      </c>
      <c r="C385" s="36">
        <v>66197</v>
      </c>
      <c r="D385" s="36" t="s">
        <v>404</v>
      </c>
      <c r="E385" s="36" t="s">
        <v>527</v>
      </c>
      <c r="F385" s="36" t="s">
        <v>937</v>
      </c>
      <c r="G385" s="36" t="s">
        <v>616</v>
      </c>
      <c r="H385" s="36" t="s">
        <v>529</v>
      </c>
      <c r="I385" s="37" t="s">
        <v>540</v>
      </c>
      <c r="J385" s="38">
        <v>809.45</v>
      </c>
      <c r="K385" s="39">
        <v>14.766765915213377</v>
      </c>
      <c r="L385" s="39">
        <v>0.24769335562575545</v>
      </c>
      <c r="M385" s="38" t="s">
        <v>539</v>
      </c>
      <c r="N385" s="38">
        <v>705.30000000000007</v>
      </c>
      <c r="O385" s="38">
        <v>807.44999999999993</v>
      </c>
      <c r="P385" s="39" t="s">
        <v>540</v>
      </c>
      <c r="Q385" s="39" t="s">
        <v>540</v>
      </c>
      <c r="R385" s="40"/>
      <c r="S385" s="38">
        <v>287.06666666666666</v>
      </c>
      <c r="T385" s="39">
        <v>35.464409990322643</v>
      </c>
      <c r="U385" s="39">
        <v>-32.036244693809124</v>
      </c>
      <c r="V385" s="38" t="s">
        <v>539</v>
      </c>
      <c r="W385" s="38">
        <v>252.39</v>
      </c>
      <c r="X385" s="38">
        <v>281.61</v>
      </c>
      <c r="Y385" s="39" t="s">
        <v>540</v>
      </c>
      <c r="Z385" s="39" t="s">
        <v>540</v>
      </c>
      <c r="AA385" s="41" t="s">
        <v>540</v>
      </c>
      <c r="AB385" s="42" t="s">
        <v>540</v>
      </c>
      <c r="AC385" s="40"/>
      <c r="AD385" s="43">
        <v>124.71669999999999</v>
      </c>
      <c r="AE385" s="39">
        <v>21.924626063153752</v>
      </c>
      <c r="AF385" s="39">
        <v>14.724220402906818</v>
      </c>
      <c r="AG385" s="43" t="s">
        <v>539</v>
      </c>
      <c r="AH385" s="43">
        <v>102.29</v>
      </c>
      <c r="AI385" s="43">
        <v>108.71</v>
      </c>
      <c r="AJ385" s="39" t="s">
        <v>539</v>
      </c>
      <c r="AK385" s="39" t="s">
        <v>539</v>
      </c>
      <c r="AL385" s="44"/>
      <c r="AM385" s="43">
        <v>124.71669999999999</v>
      </c>
      <c r="AN385" s="39">
        <v>32.903559249786852</v>
      </c>
      <c r="AO385" s="39">
        <v>25.066887284396302</v>
      </c>
      <c r="AP385" s="43" t="s">
        <v>539</v>
      </c>
      <c r="AQ385" s="43">
        <v>93.84</v>
      </c>
      <c r="AR385" s="43">
        <v>99.72</v>
      </c>
      <c r="AS385" s="39" t="s">
        <v>539</v>
      </c>
      <c r="AT385" s="39" t="s">
        <v>539</v>
      </c>
      <c r="AU385" s="1">
        <v>20103.265618134999</v>
      </c>
    </row>
    <row r="386" spans="2:47" ht="18" customHeight="1" x14ac:dyDescent="0.25">
      <c r="B386" s="2">
        <f>IF(G386=$B$6,MAX(B$7:B385)+1,IF($B$6="Nifty 500 - All Sector",B385+1,0))</f>
        <v>0</v>
      </c>
      <c r="C386" s="36">
        <v>73056</v>
      </c>
      <c r="D386" s="36" t="s">
        <v>405</v>
      </c>
      <c r="E386" s="36" t="s">
        <v>527</v>
      </c>
      <c r="F386" s="36" t="s">
        <v>938</v>
      </c>
      <c r="G386" s="36" t="s">
        <v>616</v>
      </c>
      <c r="H386" s="36" t="s">
        <v>529</v>
      </c>
      <c r="I386" s="37" t="s">
        <v>540</v>
      </c>
      <c r="J386" s="38">
        <v>415.1</v>
      </c>
      <c r="K386" s="39">
        <v>34.561710045610305</v>
      </c>
      <c r="L386" s="39">
        <v>5.5742491409852546</v>
      </c>
      <c r="M386" s="38" t="s">
        <v>539</v>
      </c>
      <c r="N386" s="38">
        <v>308.483</v>
      </c>
      <c r="O386" s="38">
        <v>393.18299999999999</v>
      </c>
      <c r="P386" s="39" t="s">
        <v>540</v>
      </c>
      <c r="Q386" s="39" t="s">
        <v>540</v>
      </c>
      <c r="R386" s="40"/>
      <c r="S386" s="38">
        <v>154.9</v>
      </c>
      <c r="T386" s="39">
        <v>37.316309323054689</v>
      </c>
      <c r="U386" s="39">
        <v>977.60558893160407</v>
      </c>
      <c r="V386" s="38" t="s">
        <v>539</v>
      </c>
      <c r="W386" s="38">
        <v>84.956999999999994</v>
      </c>
      <c r="X386" s="38">
        <v>150.655</v>
      </c>
      <c r="Y386" s="39" t="s">
        <v>540</v>
      </c>
      <c r="Z386" s="39" t="s">
        <v>540</v>
      </c>
      <c r="AA386" s="41" t="s">
        <v>540</v>
      </c>
      <c r="AB386" s="42" t="s">
        <v>540</v>
      </c>
      <c r="AC386" s="40"/>
      <c r="AD386" s="43">
        <v>108.3</v>
      </c>
      <c r="AE386" s="39">
        <v>72.680453465567552</v>
      </c>
      <c r="AF386" s="39">
        <v>1.9591598489912432</v>
      </c>
      <c r="AG386" s="43" t="s">
        <v>539</v>
      </c>
      <c r="AH386" s="43">
        <v>62.716999999999999</v>
      </c>
      <c r="AI386" s="43">
        <v>106.21899999999999</v>
      </c>
      <c r="AJ386" s="39" t="s">
        <v>539</v>
      </c>
      <c r="AK386" s="39" t="s">
        <v>539</v>
      </c>
      <c r="AL386" s="44"/>
      <c r="AM386" s="43">
        <v>108.3</v>
      </c>
      <c r="AN386" s="39">
        <v>73.327144983435488</v>
      </c>
      <c r="AO386" s="39">
        <v>0.31493145609484685</v>
      </c>
      <c r="AP386" s="43" t="s">
        <v>539</v>
      </c>
      <c r="AQ386" s="43">
        <v>62.482999999999997</v>
      </c>
      <c r="AR386" s="43">
        <v>107.96</v>
      </c>
      <c r="AS386" s="39" t="s">
        <v>539</v>
      </c>
      <c r="AT386" s="39" t="s">
        <v>539</v>
      </c>
      <c r="AU386" s="1">
        <v>18757.90211703</v>
      </c>
    </row>
    <row r="387" spans="2:47" ht="18" customHeight="1" x14ac:dyDescent="0.25">
      <c r="B387" s="2">
        <f>IF(G387=$B$6,MAX(B$7:B386)+1,IF($B$6="Nifty 500 - All Sector",B386+1,0))</f>
        <v>0</v>
      </c>
      <c r="C387" s="36">
        <v>3800</v>
      </c>
      <c r="D387" s="36" t="s">
        <v>406</v>
      </c>
      <c r="E387" s="36" t="s">
        <v>527</v>
      </c>
      <c r="F387" s="36" t="s">
        <v>939</v>
      </c>
      <c r="G387" s="36" t="s">
        <v>616</v>
      </c>
      <c r="H387" s="36" t="s">
        <v>529</v>
      </c>
      <c r="I387" s="37" t="s">
        <v>540</v>
      </c>
      <c r="J387" s="38">
        <v>534.9</v>
      </c>
      <c r="K387" s="39">
        <v>62.900475088317684</v>
      </c>
      <c r="L387" s="39">
        <v>21.648635802314708</v>
      </c>
      <c r="M387" s="38" t="s">
        <v>539</v>
      </c>
      <c r="N387" s="38">
        <v>328.36</v>
      </c>
      <c r="O387" s="38">
        <v>439.709</v>
      </c>
      <c r="P387" s="39" t="s">
        <v>540</v>
      </c>
      <c r="Q387" s="39" t="s">
        <v>540</v>
      </c>
      <c r="R387" s="40"/>
      <c r="S387" s="38">
        <v>153.65</v>
      </c>
      <c r="T387" s="39">
        <v>28.724995326229202</v>
      </c>
      <c r="U387" s="39">
        <v>1317.1030166039168</v>
      </c>
      <c r="V387" s="38" t="s">
        <v>539</v>
      </c>
      <c r="W387" s="38">
        <v>51.073</v>
      </c>
      <c r="X387" s="38">
        <v>77.132999999999996</v>
      </c>
      <c r="Y387" s="39" t="s">
        <v>540</v>
      </c>
      <c r="Z387" s="39" t="s">
        <v>540</v>
      </c>
      <c r="AA387" s="41" t="s">
        <v>540</v>
      </c>
      <c r="AB387" s="42" t="s">
        <v>540</v>
      </c>
      <c r="AC387" s="40"/>
      <c r="AD387" s="43">
        <v>100.1</v>
      </c>
      <c r="AE387" s="39">
        <v>260.00719295090812</v>
      </c>
      <c r="AF387" s="39">
        <v>146.7157962191605</v>
      </c>
      <c r="AG387" s="43" t="s">
        <v>539</v>
      </c>
      <c r="AH387" s="43">
        <v>27.805</v>
      </c>
      <c r="AI387" s="43">
        <v>40.573</v>
      </c>
      <c r="AJ387" s="39" t="s">
        <v>539</v>
      </c>
      <c r="AK387" s="39" t="s">
        <v>539</v>
      </c>
      <c r="AL387" s="44"/>
      <c r="AM387" s="43">
        <v>100.1</v>
      </c>
      <c r="AN387" s="39">
        <v>259.99424584622022</v>
      </c>
      <c r="AO387" s="39">
        <v>146.72187715665973</v>
      </c>
      <c r="AP387" s="43" t="s">
        <v>539</v>
      </c>
      <c r="AQ387" s="43">
        <v>27.806000000000001</v>
      </c>
      <c r="AR387" s="43">
        <v>40.572000000000003</v>
      </c>
      <c r="AS387" s="39" t="s">
        <v>539</v>
      </c>
      <c r="AT387" s="39" t="s">
        <v>539</v>
      </c>
      <c r="AU387" s="1">
        <v>19230.528173765</v>
      </c>
    </row>
    <row r="388" spans="2:47" ht="18" customHeight="1" x14ac:dyDescent="0.25">
      <c r="B388" s="2">
        <f>IF(G388=$B$6,MAX(B$7:B387)+1,IF($B$6="Nifty 500 - All Sector",B387+1,0))</f>
        <v>0</v>
      </c>
      <c r="C388" s="36">
        <v>89433</v>
      </c>
      <c r="D388" s="36" t="s">
        <v>407</v>
      </c>
      <c r="E388" s="36" t="s">
        <v>527</v>
      </c>
      <c r="F388" s="36" t="s">
        <v>940</v>
      </c>
      <c r="G388" s="36" t="s">
        <v>616</v>
      </c>
      <c r="H388" s="36" t="s">
        <v>529</v>
      </c>
      <c r="I388" s="37" t="s">
        <v>540</v>
      </c>
      <c r="J388" s="38">
        <v>320.60000000000002</v>
      </c>
      <c r="K388" s="39">
        <v>-24.733479984880947</v>
      </c>
      <c r="L388" s="39">
        <v>10.422263553075716</v>
      </c>
      <c r="M388" s="38" t="s">
        <v>539</v>
      </c>
      <c r="N388" s="38">
        <v>425.95299999999997</v>
      </c>
      <c r="O388" s="38">
        <v>290.33999999999997</v>
      </c>
      <c r="P388" s="39" t="s">
        <v>540</v>
      </c>
      <c r="Q388" s="39" t="s">
        <v>540</v>
      </c>
      <c r="R388" s="40"/>
      <c r="S388" s="38">
        <v>44.5</v>
      </c>
      <c r="T388" s="39">
        <v>13.880224578914536</v>
      </c>
      <c r="U388" s="39">
        <v>-2896.8399565063792</v>
      </c>
      <c r="V388" s="38" t="s">
        <v>539</v>
      </c>
      <c r="W388" s="38">
        <v>182.51499999999999</v>
      </c>
      <c r="X388" s="38">
        <v>17.321999999999999</v>
      </c>
      <c r="Y388" s="39" t="s">
        <v>540</v>
      </c>
      <c r="Z388" s="39" t="s">
        <v>540</v>
      </c>
      <c r="AA388" s="41" t="s">
        <v>540</v>
      </c>
      <c r="AB388" s="42" t="s">
        <v>540</v>
      </c>
      <c r="AC388" s="40"/>
      <c r="AD388" s="43">
        <v>-57.05</v>
      </c>
      <c r="AE388" s="39" t="s">
        <v>808</v>
      </c>
      <c r="AF388" s="39" t="s">
        <v>548</v>
      </c>
      <c r="AG388" s="43" t="s">
        <v>539</v>
      </c>
      <c r="AH388" s="43">
        <v>99.191999999999993</v>
      </c>
      <c r="AI388" s="43">
        <v>-88.698999999999998</v>
      </c>
      <c r="AJ388" s="39" t="s">
        <v>539</v>
      </c>
      <c r="AK388" s="39" t="s">
        <v>547</v>
      </c>
      <c r="AL388" s="44"/>
      <c r="AM388" s="43">
        <v>-57.05</v>
      </c>
      <c r="AN388" s="39" t="s">
        <v>808</v>
      </c>
      <c r="AO388" s="39" t="s">
        <v>548</v>
      </c>
      <c r="AP388" s="43" t="s">
        <v>539</v>
      </c>
      <c r="AQ388" s="43">
        <v>98.501999999999995</v>
      </c>
      <c r="AR388" s="43">
        <v>-88.698999999999998</v>
      </c>
      <c r="AS388" s="39" t="s">
        <v>539</v>
      </c>
      <c r="AT388" s="39" t="s">
        <v>547</v>
      </c>
      <c r="AU388" s="1">
        <v>17629.173657525</v>
      </c>
    </row>
    <row r="389" spans="2:47" ht="18" customHeight="1" x14ac:dyDescent="0.25">
      <c r="B389" s="2">
        <f>IF(G389=$B$6,MAX(B$7:B388)+1,IF($B$6="Nifty 500 - All Sector",B388+1,0))</f>
        <v>0</v>
      </c>
      <c r="C389" s="36">
        <v>12632</v>
      </c>
      <c r="D389" s="36" t="s">
        <v>408</v>
      </c>
      <c r="E389" s="36" t="s">
        <v>527</v>
      </c>
      <c r="F389" s="36" t="s">
        <v>941</v>
      </c>
      <c r="G389" s="36" t="s">
        <v>616</v>
      </c>
      <c r="H389" s="36" t="s">
        <v>529</v>
      </c>
      <c r="I389" s="37" t="s">
        <v>540</v>
      </c>
      <c r="J389" s="38">
        <v>1465</v>
      </c>
      <c r="K389" s="39">
        <v>22.345458478122726</v>
      </c>
      <c r="L389" s="39">
        <v>5.5521132037407828</v>
      </c>
      <c r="M389" s="38" t="s">
        <v>539</v>
      </c>
      <c r="N389" s="38">
        <v>1197.4289999999999</v>
      </c>
      <c r="O389" s="38">
        <v>1387.94</v>
      </c>
      <c r="P389" s="39" t="s">
        <v>540</v>
      </c>
      <c r="Q389" s="39" t="s">
        <v>540</v>
      </c>
      <c r="R389" s="40"/>
      <c r="S389" s="38">
        <v>344.8</v>
      </c>
      <c r="T389" s="39">
        <v>23.535836177474405</v>
      </c>
      <c r="U389" s="39">
        <v>246.08496855821897</v>
      </c>
      <c r="V389" s="38" t="s">
        <v>539</v>
      </c>
      <c r="W389" s="38">
        <v>252.358</v>
      </c>
      <c r="X389" s="38">
        <v>308.09800000000001</v>
      </c>
      <c r="Y389" s="39" t="s">
        <v>540</v>
      </c>
      <c r="Z389" s="39" t="s">
        <v>540</v>
      </c>
      <c r="AA389" s="41" t="s">
        <v>540</v>
      </c>
      <c r="AB389" s="42" t="s">
        <v>540</v>
      </c>
      <c r="AC389" s="40"/>
      <c r="AD389" s="43">
        <v>185.5</v>
      </c>
      <c r="AE389" s="39">
        <v>22.014589129848506</v>
      </c>
      <c r="AF389" s="39">
        <v>23.492953245767612</v>
      </c>
      <c r="AG389" s="43" t="s">
        <v>539</v>
      </c>
      <c r="AH389" s="43">
        <v>152.03100000000001</v>
      </c>
      <c r="AI389" s="43">
        <v>150.21100000000001</v>
      </c>
      <c r="AJ389" s="39" t="s">
        <v>539</v>
      </c>
      <c r="AK389" s="39" t="s">
        <v>539</v>
      </c>
      <c r="AL389" s="44"/>
      <c r="AM389" s="43">
        <v>185.5</v>
      </c>
      <c r="AN389" s="39">
        <v>22.014589129848506</v>
      </c>
      <c r="AO389" s="39">
        <v>23.492953245767612</v>
      </c>
      <c r="AP389" s="43" t="s">
        <v>539</v>
      </c>
      <c r="AQ389" s="43">
        <v>152.03100000000001</v>
      </c>
      <c r="AR389" s="43">
        <v>150.21100000000001</v>
      </c>
      <c r="AS389" s="39" t="s">
        <v>539</v>
      </c>
      <c r="AT389" s="39" t="s">
        <v>539</v>
      </c>
      <c r="AU389" s="1">
        <v>16158.837218410001</v>
      </c>
    </row>
    <row r="390" spans="2:47" ht="18" customHeight="1" x14ac:dyDescent="0.25">
      <c r="B390" s="2">
        <f>IF(G390=$B$6,MAX(B$7:B389)+1,IF($B$6="Nifty 500 - All Sector",B389+1,0))</f>
        <v>0</v>
      </c>
      <c r="C390" s="36">
        <v>13973</v>
      </c>
      <c r="D390" s="36" t="s">
        <v>409</v>
      </c>
      <c r="E390" s="36" t="s">
        <v>527</v>
      </c>
      <c r="F390" s="36" t="s">
        <v>942</v>
      </c>
      <c r="G390" s="36" t="s">
        <v>616</v>
      </c>
      <c r="H390" s="36" t="s">
        <v>529</v>
      </c>
      <c r="I390" s="37" t="s">
        <v>540</v>
      </c>
      <c r="J390" s="38">
        <v>515.4</v>
      </c>
      <c r="K390" s="39">
        <v>16.916348326331352</v>
      </c>
      <c r="L390" s="39">
        <v>4.4046866643978833</v>
      </c>
      <c r="M390" s="38" t="s">
        <v>539</v>
      </c>
      <c r="N390" s="38">
        <v>440.82799999999997</v>
      </c>
      <c r="O390" s="38">
        <v>493.65600000000001</v>
      </c>
      <c r="P390" s="39" t="s">
        <v>540</v>
      </c>
      <c r="Q390" s="39" t="s">
        <v>540</v>
      </c>
      <c r="R390" s="40"/>
      <c r="S390" s="38">
        <v>116.06666666666668</v>
      </c>
      <c r="T390" s="39">
        <v>22.519725779329974</v>
      </c>
      <c r="U390" s="39">
        <v>-457.95056669483927</v>
      </c>
      <c r="V390" s="38" t="s">
        <v>539</v>
      </c>
      <c r="W390" s="38">
        <v>119.461</v>
      </c>
      <c r="X390" s="38">
        <v>111.182</v>
      </c>
      <c r="Y390" s="39" t="s">
        <v>540</v>
      </c>
      <c r="Z390" s="39" t="s">
        <v>540</v>
      </c>
      <c r="AA390" s="41" t="s">
        <v>540</v>
      </c>
      <c r="AB390" s="42" t="s">
        <v>540</v>
      </c>
      <c r="AC390" s="40"/>
      <c r="AD390" s="43">
        <v>85.633299999999991</v>
      </c>
      <c r="AE390" s="39">
        <v>-4.3844350156319933</v>
      </c>
      <c r="AF390" s="39">
        <v>23.887184977286523</v>
      </c>
      <c r="AG390" s="43" t="s">
        <v>539</v>
      </c>
      <c r="AH390" s="43">
        <v>89.56</v>
      </c>
      <c r="AI390" s="43">
        <v>69.122</v>
      </c>
      <c r="AJ390" s="39" t="s">
        <v>539</v>
      </c>
      <c r="AK390" s="39" t="s">
        <v>539</v>
      </c>
      <c r="AL390" s="44"/>
      <c r="AM390" s="43">
        <v>85.633299999999991</v>
      </c>
      <c r="AN390" s="39">
        <v>-6.7520743951042235</v>
      </c>
      <c r="AO390" s="39">
        <v>20.729310587903548</v>
      </c>
      <c r="AP390" s="43" t="s">
        <v>539</v>
      </c>
      <c r="AQ390" s="43">
        <v>91.834000000000003</v>
      </c>
      <c r="AR390" s="43">
        <v>70.930000000000007</v>
      </c>
      <c r="AS390" s="39" t="s">
        <v>539</v>
      </c>
      <c r="AT390" s="39" t="s">
        <v>539</v>
      </c>
      <c r="AU390" s="1">
        <v>14925.184902499999</v>
      </c>
    </row>
    <row r="391" spans="2:47" ht="18" customHeight="1" x14ac:dyDescent="0.25">
      <c r="B391" s="2">
        <f>IF(G391=$B$6,MAX(B$7:B390)+1,IF($B$6="Nifty 500 - All Sector",B390+1,0))</f>
        <v>0</v>
      </c>
      <c r="C391" s="36">
        <v>592</v>
      </c>
      <c r="D391" s="36" t="s">
        <v>410</v>
      </c>
      <c r="E391" s="36" t="s">
        <v>527</v>
      </c>
      <c r="F391" s="36" t="s">
        <v>943</v>
      </c>
      <c r="G391" s="36" t="s">
        <v>616</v>
      </c>
      <c r="H391" s="36" t="s">
        <v>529</v>
      </c>
      <c r="I391" s="37" t="s">
        <v>540</v>
      </c>
      <c r="J391" s="38">
        <v>2195.5</v>
      </c>
      <c r="K391" s="39">
        <v>13.827250103691412</v>
      </c>
      <c r="L391" s="39">
        <v>3.4393404004711359</v>
      </c>
      <c r="M391" s="38" t="s">
        <v>539</v>
      </c>
      <c r="N391" s="38">
        <v>1928.8</v>
      </c>
      <c r="O391" s="38">
        <v>2122.5</v>
      </c>
      <c r="P391" s="39" t="s">
        <v>540</v>
      </c>
      <c r="Q391" s="39" t="s">
        <v>540</v>
      </c>
      <c r="R391" s="40"/>
      <c r="S391" s="38">
        <v>334</v>
      </c>
      <c r="T391" s="39">
        <v>15.212935549988613</v>
      </c>
      <c r="U391" s="39">
        <v>-269.45717084103882</v>
      </c>
      <c r="V391" s="38" t="s">
        <v>539</v>
      </c>
      <c r="W391" s="38">
        <v>345.4</v>
      </c>
      <c r="X391" s="38">
        <v>289.5</v>
      </c>
      <c r="Y391" s="39" t="s">
        <v>540</v>
      </c>
      <c r="Z391" s="39" t="s">
        <v>540</v>
      </c>
      <c r="AA391" s="41" t="s">
        <v>540</v>
      </c>
      <c r="AB391" s="42" t="s">
        <v>540</v>
      </c>
      <c r="AC391" s="40"/>
      <c r="AD391" s="43">
        <v>134.4</v>
      </c>
      <c r="AE391" s="39">
        <v>-11.228533685601061</v>
      </c>
      <c r="AF391" s="39">
        <v>140.42933810375672</v>
      </c>
      <c r="AG391" s="43" t="s">
        <v>539</v>
      </c>
      <c r="AH391" s="43">
        <v>151.4</v>
      </c>
      <c r="AI391" s="43">
        <v>55.9</v>
      </c>
      <c r="AJ391" s="39" t="s">
        <v>539</v>
      </c>
      <c r="AK391" s="39" t="s">
        <v>539</v>
      </c>
      <c r="AL391" s="44"/>
      <c r="AM391" s="43">
        <v>134.4</v>
      </c>
      <c r="AN391" s="39">
        <v>-12.499999999999989</v>
      </c>
      <c r="AO391" s="39">
        <v>140.42933810375672</v>
      </c>
      <c r="AP391" s="43" t="s">
        <v>539</v>
      </c>
      <c r="AQ391" s="43">
        <v>153.6</v>
      </c>
      <c r="AR391" s="43">
        <v>55.9</v>
      </c>
      <c r="AS391" s="39" t="s">
        <v>539</v>
      </c>
      <c r="AT391" s="39" t="s">
        <v>539</v>
      </c>
      <c r="AU391" s="1">
        <v>14425.296353535001</v>
      </c>
    </row>
    <row r="392" spans="2:47" ht="18" customHeight="1" x14ac:dyDescent="0.25">
      <c r="B392" s="2">
        <f>IF(G392=$B$6,MAX(B$7:B391)+1,IF($B$6="Nifty 500 - All Sector",B391+1,0))</f>
        <v>0</v>
      </c>
      <c r="C392" s="36">
        <v>4464</v>
      </c>
      <c r="D392" s="36" t="s">
        <v>411</v>
      </c>
      <c r="E392" s="36" t="s">
        <v>527</v>
      </c>
      <c r="F392" s="36" t="s">
        <v>944</v>
      </c>
      <c r="G392" s="36" t="s">
        <v>616</v>
      </c>
      <c r="H392" s="36" t="s">
        <v>529</v>
      </c>
      <c r="I392" s="37" t="s">
        <v>540</v>
      </c>
      <c r="J392" s="38" t="s">
        <v>539</v>
      </c>
      <c r="K392" s="39" t="s">
        <v>540</v>
      </c>
      <c r="L392" s="39" t="s">
        <v>540</v>
      </c>
      <c r="M392" s="38" t="s">
        <v>539</v>
      </c>
      <c r="N392" s="38">
        <v>502.45</v>
      </c>
      <c r="O392" s="38">
        <v>542.77</v>
      </c>
      <c r="P392" s="39" t="s">
        <v>540</v>
      </c>
      <c r="Q392" s="39" t="s">
        <v>540</v>
      </c>
      <c r="R392" s="40"/>
      <c r="S392" s="38" t="s">
        <v>539</v>
      </c>
      <c r="T392" s="39" t="s">
        <v>540</v>
      </c>
      <c r="U392" s="39" t="s">
        <v>540</v>
      </c>
      <c r="V392" s="38" t="s">
        <v>539</v>
      </c>
      <c r="W392" s="38">
        <v>168.06</v>
      </c>
      <c r="X392" s="38">
        <v>189.69</v>
      </c>
      <c r="Y392" s="39" t="s">
        <v>540</v>
      </c>
      <c r="Z392" s="39" t="s">
        <v>540</v>
      </c>
      <c r="AA392" s="41" t="s">
        <v>540</v>
      </c>
      <c r="AB392" s="42" t="s">
        <v>540</v>
      </c>
      <c r="AC392" s="40"/>
      <c r="AD392" s="43" t="s">
        <v>540</v>
      </c>
      <c r="AE392" s="39" t="s">
        <v>539</v>
      </c>
      <c r="AF392" s="39" t="s">
        <v>539</v>
      </c>
      <c r="AG392" s="43" t="s">
        <v>539</v>
      </c>
      <c r="AH392" s="43">
        <v>145.19999999999999</v>
      </c>
      <c r="AI392" s="43">
        <v>165.88</v>
      </c>
      <c r="AJ392" s="39" t="s">
        <v>539</v>
      </c>
      <c r="AK392" s="39" t="s">
        <v>539</v>
      </c>
      <c r="AL392" s="44"/>
      <c r="AM392" s="43" t="s">
        <v>539</v>
      </c>
      <c r="AN392" s="39" t="s">
        <v>539</v>
      </c>
      <c r="AO392" s="39" t="s">
        <v>539</v>
      </c>
      <c r="AP392" s="43" t="s">
        <v>539</v>
      </c>
      <c r="AQ392" s="43">
        <v>142.57</v>
      </c>
      <c r="AR392" s="43">
        <v>163.88</v>
      </c>
      <c r="AS392" s="39" t="s">
        <v>539</v>
      </c>
      <c r="AT392" s="39" t="s">
        <v>539</v>
      </c>
      <c r="AU392" s="1">
        <v>13215.01340808</v>
      </c>
    </row>
    <row r="393" spans="2:47" ht="18" customHeight="1" x14ac:dyDescent="0.25">
      <c r="B393" s="2">
        <f>IF(G393=$B$6,MAX(B$7:B392)+1,IF($B$6="Nifty 500 - All Sector",B392+1,0))</f>
        <v>0</v>
      </c>
      <c r="C393" s="36">
        <v>35969</v>
      </c>
      <c r="D393" s="36" t="s">
        <v>412</v>
      </c>
      <c r="E393" s="36" t="s">
        <v>527</v>
      </c>
      <c r="F393" s="36" t="s">
        <v>945</v>
      </c>
      <c r="G393" s="36" t="s">
        <v>616</v>
      </c>
      <c r="H393" s="36" t="s">
        <v>529</v>
      </c>
      <c r="I393" s="37" t="s">
        <v>540</v>
      </c>
      <c r="J393" s="38">
        <v>438.3</v>
      </c>
      <c r="K393" s="39">
        <v>18.425212168372916</v>
      </c>
      <c r="L393" s="39">
        <v>-1.6046766401465407</v>
      </c>
      <c r="M393" s="38" t="s">
        <v>539</v>
      </c>
      <c r="N393" s="38">
        <v>370.10700000000003</v>
      </c>
      <c r="O393" s="38">
        <v>445.44799999999998</v>
      </c>
      <c r="P393" s="39" t="s">
        <v>540</v>
      </c>
      <c r="Q393" s="39" t="s">
        <v>540</v>
      </c>
      <c r="R393" s="40"/>
      <c r="S393" s="38">
        <v>135.4</v>
      </c>
      <c r="T393" s="39">
        <v>30.892083048140545</v>
      </c>
      <c r="U393" s="39">
        <v>-10.597967426135213</v>
      </c>
      <c r="V393" s="38" t="s">
        <v>539</v>
      </c>
      <c r="W393" s="38">
        <v>114.726</v>
      </c>
      <c r="X393" s="38">
        <v>146.976</v>
      </c>
      <c r="Y393" s="39" t="s">
        <v>540</v>
      </c>
      <c r="Z393" s="39" t="s">
        <v>540</v>
      </c>
      <c r="AA393" s="41" t="s">
        <v>540</v>
      </c>
      <c r="AB393" s="42" t="s">
        <v>540</v>
      </c>
      <c r="AC393" s="40"/>
      <c r="AD393" s="43">
        <v>61.3</v>
      </c>
      <c r="AE393" s="39">
        <v>8.3938959913709255</v>
      </c>
      <c r="AF393" s="39">
        <v>-17.046700136676741</v>
      </c>
      <c r="AG393" s="43" t="s">
        <v>539</v>
      </c>
      <c r="AH393" s="43">
        <v>56.552999999999997</v>
      </c>
      <c r="AI393" s="43">
        <v>73.897000000000006</v>
      </c>
      <c r="AJ393" s="39" t="s">
        <v>539</v>
      </c>
      <c r="AK393" s="39" t="s">
        <v>539</v>
      </c>
      <c r="AL393" s="44"/>
      <c r="AM393" s="43">
        <v>61.3</v>
      </c>
      <c r="AN393" s="39">
        <v>8.8133487174935521</v>
      </c>
      <c r="AO393" s="39">
        <v>-15.48441356109802</v>
      </c>
      <c r="AP393" s="43" t="s">
        <v>539</v>
      </c>
      <c r="AQ393" s="43">
        <v>56.335000000000001</v>
      </c>
      <c r="AR393" s="43">
        <v>72.531000000000006</v>
      </c>
      <c r="AS393" s="39" t="s">
        <v>539</v>
      </c>
      <c r="AT393" s="39" t="s">
        <v>539</v>
      </c>
      <c r="AU393" s="1">
        <v>12850.28000868</v>
      </c>
    </row>
    <row r="394" spans="2:47" ht="18" customHeight="1" x14ac:dyDescent="0.25">
      <c r="B394" s="2">
        <f>IF(G394=$B$6,MAX(B$7:B393)+1,IF($B$6="Nifty 500 - All Sector",B393+1,0))</f>
        <v>0</v>
      </c>
      <c r="C394" s="36">
        <v>74679</v>
      </c>
      <c r="D394" s="36" t="s">
        <v>413</v>
      </c>
      <c r="E394" s="36" t="s">
        <v>527</v>
      </c>
      <c r="F394" s="36" t="s">
        <v>946</v>
      </c>
      <c r="G394" s="36" t="s">
        <v>616</v>
      </c>
      <c r="H394" s="36" t="s">
        <v>529</v>
      </c>
      <c r="I394" s="37" t="s">
        <v>540</v>
      </c>
      <c r="J394" s="38">
        <v>575.6</v>
      </c>
      <c r="K394" s="39">
        <v>43.176956370329854</v>
      </c>
      <c r="L394" s="39">
        <v>5.7019557432742785</v>
      </c>
      <c r="M394" s="38" t="s">
        <v>539</v>
      </c>
      <c r="N394" s="38">
        <v>402.02</v>
      </c>
      <c r="O394" s="38">
        <v>544.54999999999995</v>
      </c>
      <c r="P394" s="39" t="s">
        <v>540</v>
      </c>
      <c r="Q394" s="39" t="s">
        <v>540</v>
      </c>
      <c r="R394" s="40"/>
      <c r="S394" s="38">
        <v>120.9</v>
      </c>
      <c r="T394" s="39">
        <v>21.004169562195969</v>
      </c>
      <c r="U394" s="39">
        <v>270.65724277250706</v>
      </c>
      <c r="V394" s="38" t="s">
        <v>539</v>
      </c>
      <c r="W394" s="38">
        <v>73.559999999999903</v>
      </c>
      <c r="X394" s="38">
        <v>95.35</v>
      </c>
      <c r="Y394" s="39" t="s">
        <v>540</v>
      </c>
      <c r="Z394" s="39" t="s">
        <v>540</v>
      </c>
      <c r="AA394" s="41" t="s">
        <v>540</v>
      </c>
      <c r="AB394" s="42" t="s">
        <v>540</v>
      </c>
      <c r="AC394" s="40"/>
      <c r="AD394" s="43">
        <v>78</v>
      </c>
      <c r="AE394" s="39">
        <v>101.39426800929567</v>
      </c>
      <c r="AF394" s="39">
        <v>168.78015161957271</v>
      </c>
      <c r="AG394" s="43" t="s">
        <v>539</v>
      </c>
      <c r="AH394" s="43">
        <v>38.729999999999897</v>
      </c>
      <c r="AI394" s="43">
        <v>29.02</v>
      </c>
      <c r="AJ394" s="39" t="s">
        <v>539</v>
      </c>
      <c r="AK394" s="39" t="s">
        <v>539</v>
      </c>
      <c r="AL394" s="44"/>
      <c r="AM394" s="43">
        <v>78</v>
      </c>
      <c r="AN394" s="39">
        <v>85.670078552725542</v>
      </c>
      <c r="AO394" s="39">
        <v>112.41830065359477</v>
      </c>
      <c r="AP394" s="43" t="s">
        <v>539</v>
      </c>
      <c r="AQ394" s="43">
        <v>42.01</v>
      </c>
      <c r="AR394" s="43">
        <v>36.72</v>
      </c>
      <c r="AS394" s="39" t="s">
        <v>539</v>
      </c>
      <c r="AT394" s="39" t="s">
        <v>539</v>
      </c>
      <c r="AU394" s="1">
        <v>13653.821226599999</v>
      </c>
    </row>
    <row r="395" spans="2:47" ht="18" customHeight="1" x14ac:dyDescent="0.25">
      <c r="B395" s="2">
        <f>IF(G395=$B$6,MAX(B$7:B394)+1,IF($B$6="Nifty 500 - All Sector",B394+1,0))</f>
        <v>0</v>
      </c>
      <c r="C395" s="36">
        <v>43575</v>
      </c>
      <c r="D395" s="36" t="s">
        <v>414</v>
      </c>
      <c r="E395" s="36" t="s">
        <v>527</v>
      </c>
      <c r="F395" s="36" t="s">
        <v>947</v>
      </c>
      <c r="G395" s="36" t="s">
        <v>616</v>
      </c>
      <c r="H395" s="36" t="s">
        <v>529</v>
      </c>
      <c r="I395" s="37" t="s">
        <v>540</v>
      </c>
      <c r="J395" s="38">
        <v>992.63333333333344</v>
      </c>
      <c r="K395" s="39">
        <v>31.370213516851962</v>
      </c>
      <c r="L395" s="39">
        <v>5.363903336517728</v>
      </c>
      <c r="M395" s="38" t="s">
        <v>539</v>
      </c>
      <c r="N395" s="38">
        <v>755.6</v>
      </c>
      <c r="O395" s="38">
        <v>942.1</v>
      </c>
      <c r="P395" s="39" t="s">
        <v>540</v>
      </c>
      <c r="Q395" s="39" t="s">
        <v>540</v>
      </c>
      <c r="R395" s="40"/>
      <c r="S395" s="38">
        <v>172.94</v>
      </c>
      <c r="T395" s="39">
        <v>17.42234460525874</v>
      </c>
      <c r="U395" s="39">
        <v>-209.85659294156881</v>
      </c>
      <c r="V395" s="38" t="s">
        <v>539</v>
      </c>
      <c r="W395" s="38">
        <v>147.5</v>
      </c>
      <c r="X395" s="38">
        <v>159.5</v>
      </c>
      <c r="Y395" s="39" t="s">
        <v>540</v>
      </c>
      <c r="Z395" s="39" t="s">
        <v>540</v>
      </c>
      <c r="AA395" s="41" t="s">
        <v>540</v>
      </c>
      <c r="AB395" s="42" t="s">
        <v>540</v>
      </c>
      <c r="AC395" s="40"/>
      <c r="AD395" s="43">
        <v>113.1</v>
      </c>
      <c r="AE395" s="39">
        <v>-3.8265306122448939</v>
      </c>
      <c r="AF395" s="39">
        <v>9.9125364431486673</v>
      </c>
      <c r="AG395" s="43" t="s">
        <v>539</v>
      </c>
      <c r="AH395" s="43">
        <v>117.6</v>
      </c>
      <c r="AI395" s="43">
        <v>102.9</v>
      </c>
      <c r="AJ395" s="39" t="s">
        <v>539</v>
      </c>
      <c r="AK395" s="39" t="s">
        <v>539</v>
      </c>
      <c r="AL395" s="44"/>
      <c r="AM395" s="43">
        <v>113.1</v>
      </c>
      <c r="AN395" s="39">
        <v>-3.8265306122448939</v>
      </c>
      <c r="AO395" s="39">
        <v>9.9125364431486673</v>
      </c>
      <c r="AP395" s="43" t="s">
        <v>539</v>
      </c>
      <c r="AQ395" s="43">
        <v>117.6</v>
      </c>
      <c r="AR395" s="43">
        <v>102.9</v>
      </c>
      <c r="AS395" s="39" t="s">
        <v>539</v>
      </c>
      <c r="AT395" s="39" t="s">
        <v>539</v>
      </c>
      <c r="AU395" s="1">
        <v>11958.343212559999</v>
      </c>
    </row>
    <row r="396" spans="2:47" ht="18" customHeight="1" x14ac:dyDescent="0.25">
      <c r="B396" s="2">
        <f>IF(G396=$B$6,MAX(B$7:B395)+1,IF($B$6="Nifty 500 - All Sector",B395+1,0))</f>
        <v>0</v>
      </c>
      <c r="C396" s="36">
        <v>72610</v>
      </c>
      <c r="D396" s="36" t="s">
        <v>415</v>
      </c>
      <c r="E396" s="36" t="s">
        <v>527</v>
      </c>
      <c r="F396" s="36" t="s">
        <v>948</v>
      </c>
      <c r="G396" s="36" t="s">
        <v>616</v>
      </c>
      <c r="H396" s="36" t="s">
        <v>529</v>
      </c>
      <c r="I396" s="37" t="s">
        <v>540</v>
      </c>
      <c r="J396" s="38">
        <v>467.55</v>
      </c>
      <c r="K396" s="39">
        <v>8.7618985586809472</v>
      </c>
      <c r="L396" s="39">
        <v>68.3251369858082</v>
      </c>
      <c r="M396" s="38" t="s">
        <v>539</v>
      </c>
      <c r="N396" s="38">
        <v>429.88400000000001</v>
      </c>
      <c r="O396" s="38">
        <v>277.76600000000002</v>
      </c>
      <c r="P396" s="39" t="s">
        <v>540</v>
      </c>
      <c r="Q396" s="39" t="s">
        <v>540</v>
      </c>
      <c r="R396" s="40"/>
      <c r="S396" s="38">
        <v>180.4</v>
      </c>
      <c r="T396" s="39">
        <v>38.584108651481124</v>
      </c>
      <c r="U396" s="39">
        <v>-571.22596711361382</v>
      </c>
      <c r="V396" s="38" t="s">
        <v>539</v>
      </c>
      <c r="W396" s="38">
        <v>190.423</v>
      </c>
      <c r="X396" s="38">
        <v>98.98</v>
      </c>
      <c r="Y396" s="39" t="s">
        <v>540</v>
      </c>
      <c r="Z396" s="39" t="s">
        <v>540</v>
      </c>
      <c r="AA396" s="41" t="s">
        <v>540</v>
      </c>
      <c r="AB396" s="42" t="s">
        <v>540</v>
      </c>
      <c r="AC396" s="40"/>
      <c r="AD396" s="43">
        <v>133.85</v>
      </c>
      <c r="AE396" s="39">
        <v>-5.6975982302007395</v>
      </c>
      <c r="AF396" s="39">
        <v>108.04190369610494</v>
      </c>
      <c r="AG396" s="43" t="s">
        <v>539</v>
      </c>
      <c r="AH396" s="43">
        <v>141.93700000000001</v>
      </c>
      <c r="AI396" s="43">
        <v>64.337999999999994</v>
      </c>
      <c r="AJ396" s="39" t="s">
        <v>539</v>
      </c>
      <c r="AK396" s="39" t="s">
        <v>539</v>
      </c>
      <c r="AL396" s="44"/>
      <c r="AM396" s="43">
        <v>133.85</v>
      </c>
      <c r="AN396" s="39">
        <v>-4.6564140554324895</v>
      </c>
      <c r="AO396" s="39">
        <v>107.59340540037532</v>
      </c>
      <c r="AP396" s="43" t="s">
        <v>539</v>
      </c>
      <c r="AQ396" s="43">
        <v>140.387</v>
      </c>
      <c r="AR396" s="43">
        <v>64.477000000000004</v>
      </c>
      <c r="AS396" s="39" t="s">
        <v>539</v>
      </c>
      <c r="AT396" s="39" t="s">
        <v>539</v>
      </c>
      <c r="AU396" s="1">
        <v>10894.20840354</v>
      </c>
    </row>
    <row r="397" spans="2:47" ht="18" customHeight="1" x14ac:dyDescent="0.25">
      <c r="B397" s="2">
        <f>IF(G397=$B$6,MAX(B$7:B396)+1,IF($B$6="Nifty 500 - All Sector",B396+1,0))</f>
        <v>0</v>
      </c>
      <c r="C397" s="36">
        <v>75683</v>
      </c>
      <c r="D397" s="36" t="s">
        <v>416</v>
      </c>
      <c r="E397" s="36" t="s">
        <v>527</v>
      </c>
      <c r="F397" s="36" t="s">
        <v>949</v>
      </c>
      <c r="G397" s="36" t="s">
        <v>616</v>
      </c>
      <c r="H397" s="36" t="s">
        <v>529</v>
      </c>
      <c r="I397" s="37" t="s">
        <v>540</v>
      </c>
      <c r="J397" s="38">
        <v>200.58333333333331</v>
      </c>
      <c r="K397" s="39">
        <v>15.781493816969983</v>
      </c>
      <c r="L397" s="39">
        <v>-2.2546009778600884</v>
      </c>
      <c r="M397" s="38" t="s">
        <v>539</v>
      </c>
      <c r="N397" s="38">
        <v>173.24299999999999</v>
      </c>
      <c r="O397" s="38">
        <v>205.21</v>
      </c>
      <c r="P397" s="39" t="s">
        <v>540</v>
      </c>
      <c r="Q397" s="39" t="s">
        <v>540</v>
      </c>
      <c r="R397" s="40"/>
      <c r="S397" s="38">
        <v>79.01428571428572</v>
      </c>
      <c r="T397" s="39">
        <v>39.392248798148266</v>
      </c>
      <c r="U397" s="39">
        <v>-35.827503254041915</v>
      </c>
      <c r="V397" s="38" t="s">
        <v>539</v>
      </c>
      <c r="W397" s="38">
        <v>68.864999999999995</v>
      </c>
      <c r="X397" s="38">
        <v>86.055000000000007</v>
      </c>
      <c r="Y397" s="39" t="s">
        <v>540</v>
      </c>
      <c r="Z397" s="39" t="s">
        <v>540</v>
      </c>
      <c r="AA397" s="41" t="s">
        <v>540</v>
      </c>
      <c r="AB397" s="42" t="s">
        <v>540</v>
      </c>
      <c r="AC397" s="40"/>
      <c r="AD397" s="43">
        <v>41.866700000000002</v>
      </c>
      <c r="AE397" s="39">
        <v>20.082317510397239</v>
      </c>
      <c r="AF397" s="39">
        <v>-3.0324717435612381</v>
      </c>
      <c r="AG397" s="43" t="s">
        <v>539</v>
      </c>
      <c r="AH397" s="43">
        <v>34.865000000000002</v>
      </c>
      <c r="AI397" s="43">
        <v>43.176000000000002</v>
      </c>
      <c r="AJ397" s="39" t="s">
        <v>539</v>
      </c>
      <c r="AK397" s="39" t="s">
        <v>539</v>
      </c>
      <c r="AL397" s="44"/>
      <c r="AM397" s="43">
        <v>41.866700000000002</v>
      </c>
      <c r="AN397" s="39">
        <v>20.872766117157958</v>
      </c>
      <c r="AO397" s="39">
        <v>-3.0302258251302727</v>
      </c>
      <c r="AP397" s="43" t="s">
        <v>539</v>
      </c>
      <c r="AQ397" s="43">
        <v>34.637</v>
      </c>
      <c r="AR397" s="43">
        <v>43.174999999999997</v>
      </c>
      <c r="AS397" s="39" t="s">
        <v>539</v>
      </c>
      <c r="AT397" s="39" t="s">
        <v>539</v>
      </c>
      <c r="AU397" s="1">
        <v>9791.7693526200001</v>
      </c>
    </row>
    <row r="398" spans="2:47" ht="18" customHeight="1" x14ac:dyDescent="0.25">
      <c r="B398" s="2">
        <f>IF(G398=$B$6,MAX(B$7:B397)+1,IF($B$6="Nifty 500 - All Sector",B397+1,0))</f>
        <v>0</v>
      </c>
      <c r="C398" s="36">
        <v>77761</v>
      </c>
      <c r="D398" s="36" t="s">
        <v>417</v>
      </c>
      <c r="E398" s="36" t="s">
        <v>533</v>
      </c>
      <c r="F398" s="36" t="s">
        <v>950</v>
      </c>
      <c r="G398" s="36" t="s">
        <v>616</v>
      </c>
      <c r="H398" s="36" t="s">
        <v>529</v>
      </c>
      <c r="I398" s="37" t="s">
        <v>540</v>
      </c>
      <c r="J398" s="38">
        <v>219.1</v>
      </c>
      <c r="K398" s="39">
        <v>-35.643055412768589</v>
      </c>
      <c r="L398" s="39">
        <v>13.869053187398016</v>
      </c>
      <c r="M398" s="38" t="s">
        <v>539</v>
      </c>
      <c r="N398" s="38">
        <v>340.44499999999999</v>
      </c>
      <c r="O398" s="38">
        <v>192.41399999999999</v>
      </c>
      <c r="P398" s="39" t="s">
        <v>540</v>
      </c>
      <c r="Q398" s="39" t="s">
        <v>540</v>
      </c>
      <c r="R398" s="40"/>
      <c r="S398" s="38">
        <v>62.6</v>
      </c>
      <c r="T398" s="39">
        <v>28.571428571428577</v>
      </c>
      <c r="U398" s="39">
        <v>-1254.1820264653609</v>
      </c>
      <c r="V398" s="38" t="s">
        <v>539</v>
      </c>
      <c r="W398" s="38">
        <v>139.96799999999999</v>
      </c>
      <c r="X398" s="38">
        <v>46.89</v>
      </c>
      <c r="Y398" s="39" t="s">
        <v>540</v>
      </c>
      <c r="Z398" s="39" t="s">
        <v>540</v>
      </c>
      <c r="AA398" s="41" t="s">
        <v>540</v>
      </c>
      <c r="AB398" s="42" t="s">
        <v>540</v>
      </c>
      <c r="AC398" s="40"/>
      <c r="AD398" s="43">
        <v>53.3</v>
      </c>
      <c r="AE398" s="39">
        <v>-51.587265543394345</v>
      </c>
      <c r="AF398" s="39">
        <v>32.699297913658334</v>
      </c>
      <c r="AG398" s="43" t="s">
        <v>539</v>
      </c>
      <c r="AH398" s="43">
        <v>110.095</v>
      </c>
      <c r="AI398" s="43">
        <v>40.165999999999997</v>
      </c>
      <c r="AJ398" s="39" t="s">
        <v>539</v>
      </c>
      <c r="AK398" s="39" t="s">
        <v>539</v>
      </c>
      <c r="AL398" s="44"/>
      <c r="AM398" s="43">
        <v>53.3</v>
      </c>
      <c r="AN398" s="39">
        <v>-51.587265543394345</v>
      </c>
      <c r="AO398" s="39">
        <v>32.699297913658334</v>
      </c>
      <c r="AP398" s="43" t="s">
        <v>539</v>
      </c>
      <c r="AQ398" s="43">
        <v>110.095</v>
      </c>
      <c r="AR398" s="43">
        <v>40.165999999999997</v>
      </c>
      <c r="AS398" s="39" t="s">
        <v>539</v>
      </c>
      <c r="AT398" s="39" t="s">
        <v>539</v>
      </c>
      <c r="AU398" s="1">
        <v>7073.0527043749998</v>
      </c>
    </row>
    <row r="399" spans="2:47" ht="18" customHeight="1" x14ac:dyDescent="0.25">
      <c r="B399" s="2">
        <f>IF(G399=$B$6,MAX(B$7:B398)+1,IF($B$6="Nifty 500 - All Sector",B398+1,0))</f>
        <v>0</v>
      </c>
      <c r="C399" s="36">
        <v>6890</v>
      </c>
      <c r="D399" s="36" t="s">
        <v>418</v>
      </c>
      <c r="E399" s="36" t="s">
        <v>527</v>
      </c>
      <c r="F399" s="36" t="s">
        <v>951</v>
      </c>
      <c r="G399" s="36" t="s">
        <v>618</v>
      </c>
      <c r="H399" s="36" t="s">
        <v>532</v>
      </c>
      <c r="I399" s="37" t="s">
        <v>540</v>
      </c>
      <c r="J399" s="38">
        <v>2391.75</v>
      </c>
      <c r="K399" s="39">
        <v>-23.527135996521274</v>
      </c>
      <c r="L399" s="39">
        <v>18.390571323915218</v>
      </c>
      <c r="M399" s="38" t="s">
        <v>539</v>
      </c>
      <c r="N399" s="38">
        <v>3127.58</v>
      </c>
      <c r="O399" s="38">
        <v>2020.22</v>
      </c>
      <c r="P399" s="39" t="s">
        <v>540</v>
      </c>
      <c r="Q399" s="39" t="s">
        <v>540</v>
      </c>
      <c r="R399" s="40"/>
      <c r="S399" s="38">
        <v>625.875</v>
      </c>
      <c r="T399" s="39">
        <v>26.168077767325183</v>
      </c>
      <c r="U399" s="39">
        <v>-510.17858332861545</v>
      </c>
      <c r="V399" s="38" t="s">
        <v>539</v>
      </c>
      <c r="W399" s="38">
        <v>977.99</v>
      </c>
      <c r="X399" s="38">
        <v>389.87</v>
      </c>
      <c r="Y399" s="39" t="s">
        <v>540</v>
      </c>
      <c r="Z399" s="39" t="s">
        <v>540</v>
      </c>
      <c r="AA399" s="41" t="s">
        <v>540</v>
      </c>
      <c r="AB399" s="42" t="s">
        <v>540</v>
      </c>
      <c r="AC399" s="40"/>
      <c r="AD399" s="43">
        <v>1069.9333000000001</v>
      </c>
      <c r="AE399" s="39">
        <v>22.780438823988458</v>
      </c>
      <c r="AF399" s="39">
        <v>46.562190076984209</v>
      </c>
      <c r="AG399" s="43" t="s">
        <v>539</v>
      </c>
      <c r="AH399" s="43">
        <v>871.42</v>
      </c>
      <c r="AI399" s="43">
        <v>730.02</v>
      </c>
      <c r="AJ399" s="39" t="s">
        <v>539</v>
      </c>
      <c r="AK399" s="39" t="s">
        <v>539</v>
      </c>
      <c r="AL399" s="44"/>
      <c r="AM399" s="43">
        <v>1069.9333000000001</v>
      </c>
      <c r="AN399" s="39">
        <v>-16.554882233660884</v>
      </c>
      <c r="AO399" s="39">
        <v>-11.087845698710264</v>
      </c>
      <c r="AP399" s="43" t="s">
        <v>539</v>
      </c>
      <c r="AQ399" s="43">
        <v>1282.2</v>
      </c>
      <c r="AR399" s="43">
        <v>1203.3599999999999</v>
      </c>
      <c r="AS399" s="39" t="s">
        <v>539</v>
      </c>
      <c r="AT399" s="39" t="s">
        <v>539</v>
      </c>
      <c r="AU399" s="1">
        <v>145474.06896162001</v>
      </c>
    </row>
    <row r="400" spans="2:47" ht="18" customHeight="1" x14ac:dyDescent="0.25">
      <c r="B400" s="2">
        <f>IF(G400=$B$6,MAX(B$7:B399)+1,IF($B$6="Nifty 500 - All Sector",B399+1,0))</f>
        <v>0</v>
      </c>
      <c r="C400" s="36">
        <v>23039</v>
      </c>
      <c r="D400" s="36" t="s">
        <v>419</v>
      </c>
      <c r="E400" s="36" t="s">
        <v>527</v>
      </c>
      <c r="F400" s="36" t="s">
        <v>952</v>
      </c>
      <c r="G400" s="36" t="s">
        <v>618</v>
      </c>
      <c r="H400" s="36" t="s">
        <v>535</v>
      </c>
      <c r="I400" s="37" t="s">
        <v>540</v>
      </c>
      <c r="J400" s="38">
        <v>3914.45</v>
      </c>
      <c r="K400" s="39">
        <v>36.7092276851509</v>
      </c>
      <c r="L400" s="39">
        <v>-1.9924737670974024</v>
      </c>
      <c r="M400" s="38" t="s">
        <v>539</v>
      </c>
      <c r="N400" s="38">
        <v>2863.34</v>
      </c>
      <c r="O400" s="38">
        <v>3994.03</v>
      </c>
      <c r="P400" s="39" t="s">
        <v>540</v>
      </c>
      <c r="Q400" s="39" t="s">
        <v>540</v>
      </c>
      <c r="R400" s="40"/>
      <c r="S400" s="38">
        <v>1529.7</v>
      </c>
      <c r="T400" s="39">
        <v>39.078286860223024</v>
      </c>
      <c r="U400" s="39">
        <v>382.8543553455404</v>
      </c>
      <c r="V400" s="38" t="s">
        <v>539</v>
      </c>
      <c r="W400" s="38">
        <v>1009.32</v>
      </c>
      <c r="X400" s="38">
        <v>1700.54</v>
      </c>
      <c r="Y400" s="39" t="s">
        <v>540</v>
      </c>
      <c r="Z400" s="39" t="s">
        <v>540</v>
      </c>
      <c r="AA400" s="41" t="s">
        <v>540</v>
      </c>
      <c r="AB400" s="42" t="s">
        <v>540</v>
      </c>
      <c r="AC400" s="40"/>
      <c r="AD400" s="43">
        <v>128.5</v>
      </c>
      <c r="AE400" s="39" t="s">
        <v>547</v>
      </c>
      <c r="AF400" s="39">
        <v>-15.958142576847612</v>
      </c>
      <c r="AG400" s="43" t="s">
        <v>539</v>
      </c>
      <c r="AH400" s="43">
        <v>-290.48</v>
      </c>
      <c r="AI400" s="43">
        <v>152.9</v>
      </c>
      <c r="AJ400" s="39" t="s">
        <v>547</v>
      </c>
      <c r="AK400" s="39" t="s">
        <v>539</v>
      </c>
      <c r="AL400" s="44"/>
      <c r="AM400" s="43">
        <v>128.5</v>
      </c>
      <c r="AN400" s="39" t="s">
        <v>547</v>
      </c>
      <c r="AO400" s="39">
        <v>5.4748419929409931</v>
      </c>
      <c r="AP400" s="43" t="s">
        <v>539</v>
      </c>
      <c r="AQ400" s="43">
        <v>-237.59</v>
      </c>
      <c r="AR400" s="43">
        <v>121.83</v>
      </c>
      <c r="AS400" s="39" t="s">
        <v>547</v>
      </c>
      <c r="AT400" s="39" t="s">
        <v>539</v>
      </c>
      <c r="AU400" s="1">
        <v>104787.27734764801</v>
      </c>
    </row>
    <row r="401" spans="2:47" ht="18" customHeight="1" x14ac:dyDescent="0.25">
      <c r="B401" s="2">
        <f>IF(G401=$B$6,MAX(B$7:B400)+1,IF($B$6="Nifty 500 - All Sector",B400+1,0))</f>
        <v>0</v>
      </c>
      <c r="C401" s="36">
        <v>35713</v>
      </c>
      <c r="D401" s="36" t="s">
        <v>420</v>
      </c>
      <c r="E401" s="36" t="s">
        <v>527</v>
      </c>
      <c r="F401" s="36" t="s">
        <v>953</v>
      </c>
      <c r="G401" s="36" t="s">
        <v>618</v>
      </c>
      <c r="H401" s="36" t="s">
        <v>532</v>
      </c>
      <c r="I401" s="37" t="s">
        <v>540</v>
      </c>
      <c r="J401" s="38">
        <v>4260.0666666666666</v>
      </c>
      <c r="K401" s="39">
        <v>0.84668860323997563</v>
      </c>
      <c r="L401" s="39">
        <v>-8.8268236133404727</v>
      </c>
      <c r="M401" s="38" t="s">
        <v>539</v>
      </c>
      <c r="N401" s="38">
        <v>4224.3</v>
      </c>
      <c r="O401" s="38">
        <v>4672.5</v>
      </c>
      <c r="P401" s="39" t="s">
        <v>540</v>
      </c>
      <c r="Q401" s="39" t="s">
        <v>540</v>
      </c>
      <c r="R401" s="40"/>
      <c r="S401" s="38">
        <v>1216.3</v>
      </c>
      <c r="T401" s="39">
        <v>28.551196381903253</v>
      </c>
      <c r="U401" s="39">
        <v>-34.589899484555886</v>
      </c>
      <c r="V401" s="38" t="s">
        <v>539</v>
      </c>
      <c r="W401" s="38">
        <v>1220.7</v>
      </c>
      <c r="X401" s="38">
        <v>1415.1</v>
      </c>
      <c r="Y401" s="39" t="s">
        <v>540</v>
      </c>
      <c r="Z401" s="39" t="s">
        <v>540</v>
      </c>
      <c r="AA401" s="41" t="s">
        <v>540</v>
      </c>
      <c r="AB401" s="42" t="s">
        <v>540</v>
      </c>
      <c r="AC401" s="40"/>
      <c r="AD401" s="43">
        <v>865.2</v>
      </c>
      <c r="AE401" s="39">
        <v>-6.3129399025446675</v>
      </c>
      <c r="AF401" s="39">
        <v>-8.935901484054309</v>
      </c>
      <c r="AG401" s="43" t="s">
        <v>539</v>
      </c>
      <c r="AH401" s="43">
        <v>923.5</v>
      </c>
      <c r="AI401" s="43">
        <v>950.1</v>
      </c>
      <c r="AJ401" s="39" t="s">
        <v>539</v>
      </c>
      <c r="AK401" s="39" t="s">
        <v>539</v>
      </c>
      <c r="AL401" s="44"/>
      <c r="AM401" s="43">
        <v>865.2</v>
      </c>
      <c r="AN401" s="39">
        <v>-6.1299772160138826</v>
      </c>
      <c r="AO401" s="39">
        <v>-9.5830285296269135</v>
      </c>
      <c r="AP401" s="43" t="s">
        <v>539</v>
      </c>
      <c r="AQ401" s="43">
        <v>921.7</v>
      </c>
      <c r="AR401" s="43">
        <v>956.9</v>
      </c>
      <c r="AS401" s="39" t="s">
        <v>539</v>
      </c>
      <c r="AT401" s="39" t="s">
        <v>539</v>
      </c>
      <c r="AU401" s="1">
        <v>86012.071063800002</v>
      </c>
    </row>
    <row r="402" spans="2:47" ht="18" customHeight="1" x14ac:dyDescent="0.25">
      <c r="B402" s="2">
        <f>IF(G402=$B$6,MAX(B$7:B401)+1,IF($B$6="Nifty 500 - All Sector",B401+1,0))</f>
        <v>0</v>
      </c>
      <c r="C402" s="36">
        <v>6418</v>
      </c>
      <c r="D402" s="36" t="s">
        <v>421</v>
      </c>
      <c r="E402" s="36" t="s">
        <v>527</v>
      </c>
      <c r="F402" s="36" t="s">
        <v>954</v>
      </c>
      <c r="G402" s="36" t="s">
        <v>618</v>
      </c>
      <c r="H402" s="36" t="s">
        <v>535</v>
      </c>
      <c r="I402" s="37" t="s">
        <v>540</v>
      </c>
      <c r="J402" s="38">
        <v>1238.8200000000002</v>
      </c>
      <c r="K402" s="39">
        <v>21.89079202153621</v>
      </c>
      <c r="L402" s="39">
        <v>10.491235674857059</v>
      </c>
      <c r="M402" s="38" t="s">
        <v>539</v>
      </c>
      <c r="N402" s="38">
        <v>1016.336</v>
      </c>
      <c r="O402" s="38">
        <v>1121.193</v>
      </c>
      <c r="P402" s="39" t="s">
        <v>540</v>
      </c>
      <c r="Q402" s="39" t="s">
        <v>540</v>
      </c>
      <c r="R402" s="40"/>
      <c r="S402" s="38">
        <v>740.06000000000006</v>
      </c>
      <c r="T402" s="39">
        <v>59.739106569154508</v>
      </c>
      <c r="U402" s="39">
        <v>467.33605953820575</v>
      </c>
      <c r="V402" s="38" t="s">
        <v>539</v>
      </c>
      <c r="W402" s="38">
        <v>559.65300000000002</v>
      </c>
      <c r="X402" s="38">
        <v>656.28700000000003</v>
      </c>
      <c r="Y402" s="39" t="s">
        <v>540</v>
      </c>
      <c r="Z402" s="39" t="s">
        <v>540</v>
      </c>
      <c r="AA402" s="41" t="s">
        <v>540</v>
      </c>
      <c r="AB402" s="42" t="s">
        <v>540</v>
      </c>
      <c r="AC402" s="40"/>
      <c r="AD402" s="43">
        <v>391.98</v>
      </c>
      <c r="AE402" s="39">
        <v>13.121949952526757</v>
      </c>
      <c r="AF402" s="39">
        <v>6.4775326375721809</v>
      </c>
      <c r="AG402" s="43" t="s">
        <v>539</v>
      </c>
      <c r="AH402" s="43">
        <v>346.51100000000002</v>
      </c>
      <c r="AI402" s="43">
        <v>368.13400000000001</v>
      </c>
      <c r="AJ402" s="39" t="s">
        <v>539</v>
      </c>
      <c r="AK402" s="39" t="s">
        <v>539</v>
      </c>
      <c r="AL402" s="44"/>
      <c r="AM402" s="43">
        <v>391.98</v>
      </c>
      <c r="AN402" s="39">
        <v>45.813958678977173</v>
      </c>
      <c r="AO402" s="39">
        <v>42.129366077935828</v>
      </c>
      <c r="AP402" s="43" t="s">
        <v>539</v>
      </c>
      <c r="AQ402" s="43">
        <v>268.822</v>
      </c>
      <c r="AR402" s="43">
        <v>275.791</v>
      </c>
      <c r="AS402" s="39" t="s">
        <v>539</v>
      </c>
      <c r="AT402" s="39" t="s">
        <v>539</v>
      </c>
      <c r="AU402" s="1">
        <v>63678.634222704997</v>
      </c>
    </row>
    <row r="403" spans="2:47" ht="18" customHeight="1" x14ac:dyDescent="0.25">
      <c r="B403" s="2">
        <f>IF(G403=$B$6,MAX(B$7:B402)+1,IF($B$6="Nifty 500 - All Sector",B402+1,0))</f>
        <v>0</v>
      </c>
      <c r="C403" s="36">
        <v>38025</v>
      </c>
      <c r="D403" s="36" t="s">
        <v>422</v>
      </c>
      <c r="E403" s="36" t="s">
        <v>527</v>
      </c>
      <c r="F403" s="36" t="s">
        <v>955</v>
      </c>
      <c r="G403" s="36" t="s">
        <v>618</v>
      </c>
      <c r="H403" s="36" t="s">
        <v>535</v>
      </c>
      <c r="I403" s="37" t="s">
        <v>540</v>
      </c>
      <c r="J403" s="38">
        <v>1670.575</v>
      </c>
      <c r="K403" s="39">
        <v>45.249708731110985</v>
      </c>
      <c r="L403" s="39">
        <v>11.920824847250501</v>
      </c>
      <c r="M403" s="38" t="s">
        <v>539</v>
      </c>
      <c r="N403" s="38">
        <v>1150.1400000000001</v>
      </c>
      <c r="O403" s="38">
        <v>1492.64</v>
      </c>
      <c r="P403" s="39" t="s">
        <v>540</v>
      </c>
      <c r="Q403" s="39" t="s">
        <v>540</v>
      </c>
      <c r="R403" s="40"/>
      <c r="S403" s="38">
        <v>1012.15</v>
      </c>
      <c r="T403" s="39">
        <v>60.586923664007898</v>
      </c>
      <c r="U403" s="39">
        <v>684.82483723042765</v>
      </c>
      <c r="V403" s="38" t="s">
        <v>539</v>
      </c>
      <c r="W403" s="38">
        <v>618.07000000000005</v>
      </c>
      <c r="X403" s="38">
        <v>857.26</v>
      </c>
      <c r="Y403" s="39" t="s">
        <v>540</v>
      </c>
      <c r="Z403" s="39" t="s">
        <v>540</v>
      </c>
      <c r="AA403" s="41" t="s">
        <v>540</v>
      </c>
      <c r="AB403" s="42" t="s">
        <v>540</v>
      </c>
      <c r="AC403" s="40"/>
      <c r="AD403" s="43">
        <v>676.38</v>
      </c>
      <c r="AE403" s="39">
        <v>56.204244705665005</v>
      </c>
      <c r="AF403" s="39">
        <v>10.290736543447432</v>
      </c>
      <c r="AG403" s="43" t="s">
        <v>539</v>
      </c>
      <c r="AH403" s="43">
        <v>433.01</v>
      </c>
      <c r="AI403" s="43">
        <v>613.27</v>
      </c>
      <c r="AJ403" s="39" t="s">
        <v>539</v>
      </c>
      <c r="AK403" s="39" t="s">
        <v>539</v>
      </c>
      <c r="AL403" s="44"/>
      <c r="AM403" s="43">
        <v>676.38</v>
      </c>
      <c r="AN403" s="39">
        <v>56.146547544843827</v>
      </c>
      <c r="AO403" s="39">
        <v>8.6309906205833222</v>
      </c>
      <c r="AP403" s="43" t="s">
        <v>539</v>
      </c>
      <c r="AQ403" s="43">
        <v>433.17</v>
      </c>
      <c r="AR403" s="43">
        <v>622.64</v>
      </c>
      <c r="AS403" s="39" t="s">
        <v>539</v>
      </c>
      <c r="AT403" s="39" t="s">
        <v>539</v>
      </c>
      <c r="AU403" s="1">
        <v>62034.177654569998</v>
      </c>
    </row>
    <row r="404" spans="2:47" ht="18" customHeight="1" x14ac:dyDescent="0.25">
      <c r="B404" s="2">
        <f>IF(G404=$B$6,MAX(B$7:B403)+1,IF($B$6="Nifty 500 - All Sector",B403+1,0))</f>
        <v>0</v>
      </c>
      <c r="C404" s="36">
        <v>13212</v>
      </c>
      <c r="D404" s="36" t="s">
        <v>423</v>
      </c>
      <c r="E404" s="36" t="s">
        <v>527</v>
      </c>
      <c r="F404" s="36" t="s">
        <v>956</v>
      </c>
      <c r="G404" s="36" t="s">
        <v>618</v>
      </c>
      <c r="H404" s="36" t="s">
        <v>535</v>
      </c>
      <c r="I404" s="37" t="s">
        <v>540</v>
      </c>
      <c r="J404" s="38">
        <v>3439.45</v>
      </c>
      <c r="K404" s="39">
        <v>125.03598534415073</v>
      </c>
      <c r="L404" s="39">
        <v>-11.184991995042093</v>
      </c>
      <c r="M404" s="38" t="s">
        <v>539</v>
      </c>
      <c r="N404" s="38">
        <v>1528.4</v>
      </c>
      <c r="O404" s="38">
        <v>3872.6</v>
      </c>
      <c r="P404" s="39" t="s">
        <v>540</v>
      </c>
      <c r="Q404" s="39" t="s">
        <v>540</v>
      </c>
      <c r="R404" s="40"/>
      <c r="S404" s="38">
        <v>1106.75</v>
      </c>
      <c r="T404" s="39">
        <v>32.178109872217945</v>
      </c>
      <c r="U404" s="39">
        <v>-322.49259822704062</v>
      </c>
      <c r="V404" s="38" t="s">
        <v>539</v>
      </c>
      <c r="W404" s="38">
        <v>541.1</v>
      </c>
      <c r="X404" s="38">
        <v>860</v>
      </c>
      <c r="Y404" s="39" t="s">
        <v>540</v>
      </c>
      <c r="Z404" s="39" t="s">
        <v>540</v>
      </c>
      <c r="AA404" s="41" t="s">
        <v>540</v>
      </c>
      <c r="AB404" s="42" t="s">
        <v>540</v>
      </c>
      <c r="AC404" s="40"/>
      <c r="AD404" s="43">
        <v>440.7</v>
      </c>
      <c r="AE404" s="39">
        <v>698.36956521739125</v>
      </c>
      <c r="AF404" s="39">
        <v>98.513513513513516</v>
      </c>
      <c r="AG404" s="43" t="s">
        <v>539</v>
      </c>
      <c r="AH404" s="43">
        <v>55.2</v>
      </c>
      <c r="AI404" s="43">
        <v>222</v>
      </c>
      <c r="AJ404" s="39" t="s">
        <v>539</v>
      </c>
      <c r="AK404" s="39" t="s">
        <v>539</v>
      </c>
      <c r="AL404" s="44"/>
      <c r="AM404" s="43">
        <v>440.7</v>
      </c>
      <c r="AN404" s="39">
        <v>1662.8</v>
      </c>
      <c r="AO404" s="39">
        <v>97.978436657681939</v>
      </c>
      <c r="AP404" s="43" t="s">
        <v>539</v>
      </c>
      <c r="AQ404" s="43">
        <v>25</v>
      </c>
      <c r="AR404" s="43">
        <v>222.6</v>
      </c>
      <c r="AS404" s="39" t="s">
        <v>539</v>
      </c>
      <c r="AT404" s="39" t="s">
        <v>539</v>
      </c>
      <c r="AU404" s="1">
        <v>57765.231413519999</v>
      </c>
    </row>
    <row r="405" spans="2:47" ht="18" customHeight="1" x14ac:dyDescent="0.25">
      <c r="B405" s="2">
        <f>IF(G405=$B$6,MAX(B$7:B404)+1,IF($B$6="Nifty 500 - All Sector",B404+1,0))</f>
        <v>0</v>
      </c>
      <c r="C405" s="36">
        <v>15613</v>
      </c>
      <c r="D405" s="36" t="s">
        <v>424</v>
      </c>
      <c r="E405" s="36" t="s">
        <v>527</v>
      </c>
      <c r="F405" s="36" t="s">
        <v>957</v>
      </c>
      <c r="G405" s="36" t="s">
        <v>618</v>
      </c>
      <c r="H405" s="36" t="s">
        <v>535</v>
      </c>
      <c r="I405" s="37" t="s">
        <v>540</v>
      </c>
      <c r="J405" s="38">
        <v>3050.7</v>
      </c>
      <c r="K405" s="39">
        <v>43.783610544225681</v>
      </c>
      <c r="L405" s="39">
        <v>512.14784493137483</v>
      </c>
      <c r="M405" s="38" t="s">
        <v>539</v>
      </c>
      <c r="N405" s="38">
        <v>2121.73</v>
      </c>
      <c r="O405" s="38">
        <v>498.36</v>
      </c>
      <c r="P405" s="39" t="s">
        <v>540</v>
      </c>
      <c r="Q405" s="39" t="s">
        <v>540</v>
      </c>
      <c r="R405" s="40"/>
      <c r="S405" s="38">
        <v>719.5</v>
      </c>
      <c r="T405" s="39">
        <v>23.584751040744749</v>
      </c>
      <c r="U405" s="39">
        <v>1840.21877551241</v>
      </c>
      <c r="V405" s="38" t="s">
        <v>539</v>
      </c>
      <c r="W405" s="38">
        <v>109.959999999999</v>
      </c>
      <c r="X405" s="38">
        <v>-182.74</v>
      </c>
      <c r="Y405" s="39" t="s">
        <v>540</v>
      </c>
      <c r="Z405" s="39" t="s">
        <v>540</v>
      </c>
      <c r="AA405" s="41" t="s">
        <v>540</v>
      </c>
      <c r="AB405" s="42" t="s">
        <v>540</v>
      </c>
      <c r="AC405" s="40"/>
      <c r="AD405" s="43">
        <v>575.5</v>
      </c>
      <c r="AE405" s="39">
        <v>39.076848719188348</v>
      </c>
      <c r="AF405" s="39">
        <v>176.39035635385781</v>
      </c>
      <c r="AG405" s="43" t="s">
        <v>539</v>
      </c>
      <c r="AH405" s="43">
        <v>413.79999999999899</v>
      </c>
      <c r="AI405" s="43">
        <v>208.219999999999</v>
      </c>
      <c r="AJ405" s="39" t="s">
        <v>539</v>
      </c>
      <c r="AK405" s="39" t="s">
        <v>539</v>
      </c>
      <c r="AL405" s="44"/>
      <c r="AM405" s="43">
        <v>575.5</v>
      </c>
      <c r="AN405" s="39">
        <v>50.658394198801005</v>
      </c>
      <c r="AO405" s="39">
        <v>194.88624718179955</v>
      </c>
      <c r="AP405" s="43" t="s">
        <v>539</v>
      </c>
      <c r="AQ405" s="43">
        <v>381.99</v>
      </c>
      <c r="AR405" s="43">
        <v>195.16</v>
      </c>
      <c r="AS405" s="39" t="s">
        <v>539</v>
      </c>
      <c r="AT405" s="39" t="s">
        <v>539</v>
      </c>
      <c r="AU405" s="1">
        <v>52426.713359754998</v>
      </c>
    </row>
    <row r="406" spans="2:47" ht="18" customHeight="1" x14ac:dyDescent="0.25">
      <c r="B406" s="2">
        <f>IF(G406=$B$6,MAX(B$7:B405)+1,IF($B$6="Nifty 500 - All Sector",B405+1,0))</f>
        <v>0</v>
      </c>
      <c r="C406" s="36">
        <v>28365</v>
      </c>
      <c r="D406" s="36" t="s">
        <v>425</v>
      </c>
      <c r="E406" s="36" t="s">
        <v>527</v>
      </c>
      <c r="F406" s="36" t="s">
        <v>958</v>
      </c>
      <c r="G406" s="36" t="s">
        <v>618</v>
      </c>
      <c r="H406" s="36" t="s">
        <v>529</v>
      </c>
      <c r="I406" s="37" t="s">
        <v>540</v>
      </c>
      <c r="J406" s="38">
        <v>2017.4</v>
      </c>
      <c r="K406" s="39">
        <v>-6.1344361086968284</v>
      </c>
      <c r="L406" s="39">
        <v>7.8150118001163005</v>
      </c>
      <c r="M406" s="38" t="s">
        <v>539</v>
      </c>
      <c r="N406" s="38">
        <v>2149.2440000000001</v>
      </c>
      <c r="O406" s="38">
        <v>1871.1679999999999</v>
      </c>
      <c r="P406" s="39" t="s">
        <v>540</v>
      </c>
      <c r="Q406" s="39" t="s">
        <v>540</v>
      </c>
      <c r="R406" s="40"/>
      <c r="S406" s="38">
        <v>986.25</v>
      </c>
      <c r="T406" s="39">
        <v>48.88718152076931</v>
      </c>
      <c r="U406" s="39">
        <v>245.84372739550844</v>
      </c>
      <c r="V406" s="38" t="s">
        <v>539</v>
      </c>
      <c r="W406" s="38">
        <v>997.86699999999996</v>
      </c>
      <c r="X406" s="38">
        <v>1022.434</v>
      </c>
      <c r="Y406" s="39" t="s">
        <v>540</v>
      </c>
      <c r="Z406" s="39" t="s">
        <v>540</v>
      </c>
      <c r="AA406" s="41" t="s">
        <v>540</v>
      </c>
      <c r="AB406" s="42" t="s">
        <v>540</v>
      </c>
      <c r="AC406" s="40"/>
      <c r="AD406" s="43">
        <v>202.7</v>
      </c>
      <c r="AE406" s="39">
        <v>-5.5988673726958709</v>
      </c>
      <c r="AF406" s="39">
        <v>-3.8379429764220374</v>
      </c>
      <c r="AG406" s="43" t="s">
        <v>539</v>
      </c>
      <c r="AH406" s="43">
        <v>214.72200000000001</v>
      </c>
      <c r="AI406" s="43">
        <v>210.79</v>
      </c>
      <c r="AJ406" s="39" t="s">
        <v>539</v>
      </c>
      <c r="AK406" s="39" t="s">
        <v>539</v>
      </c>
      <c r="AL406" s="44"/>
      <c r="AM406" s="43">
        <v>202.7</v>
      </c>
      <c r="AN406" s="39">
        <v>-5.5988673726958709</v>
      </c>
      <c r="AO406" s="39">
        <v>-3.8379429764220374</v>
      </c>
      <c r="AP406" s="43" t="s">
        <v>539</v>
      </c>
      <c r="AQ406" s="43">
        <v>214.72200000000001</v>
      </c>
      <c r="AR406" s="43">
        <v>210.79</v>
      </c>
      <c r="AS406" s="39" t="s">
        <v>539</v>
      </c>
      <c r="AT406" s="39" t="s">
        <v>539</v>
      </c>
      <c r="AU406" s="1">
        <v>26293.806</v>
      </c>
    </row>
    <row r="407" spans="2:47" ht="18" customHeight="1" x14ac:dyDescent="0.25">
      <c r="B407" s="2">
        <f>IF(G407=$B$6,MAX(B$7:B406)+1,IF($B$6="Nifty 500 - All Sector",B406+1,0))</f>
        <v>0</v>
      </c>
      <c r="C407" s="36">
        <v>13166</v>
      </c>
      <c r="D407" s="36" t="s">
        <v>426</v>
      </c>
      <c r="E407" s="36" t="s">
        <v>527</v>
      </c>
      <c r="F407" s="36" t="s">
        <v>959</v>
      </c>
      <c r="G407" s="36" t="s">
        <v>618</v>
      </c>
      <c r="H407" s="36" t="s">
        <v>529</v>
      </c>
      <c r="I407" s="37" t="s">
        <v>540</v>
      </c>
      <c r="J407" s="38">
        <v>4709.3</v>
      </c>
      <c r="K407" s="39">
        <v>1.43785297165544</v>
      </c>
      <c r="L407" s="39">
        <v>55.813570302217407</v>
      </c>
      <c r="M407" s="38" t="s">
        <v>539</v>
      </c>
      <c r="N407" s="38">
        <v>4642.5469999999996</v>
      </c>
      <c r="O407" s="38">
        <v>3022.3939999999998</v>
      </c>
      <c r="P407" s="39" t="s">
        <v>540</v>
      </c>
      <c r="Q407" s="39" t="s">
        <v>540</v>
      </c>
      <c r="R407" s="40"/>
      <c r="S407" s="38">
        <v>293.7</v>
      </c>
      <c r="T407" s="39">
        <v>6.2365956723929239</v>
      </c>
      <c r="U407" s="39">
        <v>-1.1806336245868465</v>
      </c>
      <c r="V407" s="38" t="s">
        <v>539</v>
      </c>
      <c r="W407" s="38">
        <v>290.08499999999998</v>
      </c>
      <c r="X407" s="38">
        <v>113.55200000000001</v>
      </c>
      <c r="Y407" s="39" t="s">
        <v>540</v>
      </c>
      <c r="Z407" s="39" t="s">
        <v>540</v>
      </c>
      <c r="AA407" s="41" t="s">
        <v>540</v>
      </c>
      <c r="AB407" s="42" t="s">
        <v>540</v>
      </c>
      <c r="AC407" s="40"/>
      <c r="AD407" s="43">
        <v>267</v>
      </c>
      <c r="AE407" s="39">
        <v>45.831512715197078</v>
      </c>
      <c r="AF407" s="39">
        <v>35.382493573134433</v>
      </c>
      <c r="AG407" s="43" t="s">
        <v>539</v>
      </c>
      <c r="AH407" s="43">
        <v>183.08799999999999</v>
      </c>
      <c r="AI407" s="43">
        <v>197.21899999999999</v>
      </c>
      <c r="AJ407" s="39" t="s">
        <v>539</v>
      </c>
      <c r="AK407" s="39" t="s">
        <v>539</v>
      </c>
      <c r="AL407" s="44"/>
      <c r="AM407" s="43">
        <v>267</v>
      </c>
      <c r="AN407" s="39">
        <v>51.776121693753296</v>
      </c>
      <c r="AO407" s="39">
        <v>38.344836162407518</v>
      </c>
      <c r="AP407" s="43" t="s">
        <v>539</v>
      </c>
      <c r="AQ407" s="43">
        <v>175.917</v>
      </c>
      <c r="AR407" s="43">
        <v>192.99600000000001</v>
      </c>
      <c r="AS407" s="39" t="s">
        <v>539</v>
      </c>
      <c r="AT407" s="39" t="s">
        <v>539</v>
      </c>
      <c r="AU407" s="1">
        <v>24559.200000000001</v>
      </c>
    </row>
    <row r="408" spans="2:47" ht="18" customHeight="1" x14ac:dyDescent="0.25">
      <c r="B408" s="2">
        <f>IF(G408=$B$6,MAX(B$7:B407)+1,IF($B$6="Nifty 500 - All Sector",B407+1,0))</f>
        <v>0</v>
      </c>
      <c r="C408" s="36">
        <v>71636</v>
      </c>
      <c r="D408" s="36" t="s">
        <v>427</v>
      </c>
      <c r="E408" s="36" t="s">
        <v>527</v>
      </c>
      <c r="F408" s="36" t="s">
        <v>960</v>
      </c>
      <c r="G408" s="36" t="s">
        <v>618</v>
      </c>
      <c r="H408" s="36" t="s">
        <v>529</v>
      </c>
      <c r="I408" s="37" t="s">
        <v>540</v>
      </c>
      <c r="J408" s="38">
        <v>532.70000000000005</v>
      </c>
      <c r="K408" s="39">
        <v>9.4093701413264341</v>
      </c>
      <c r="L408" s="39">
        <v>7.2277588452333452</v>
      </c>
      <c r="M408" s="38" t="s">
        <v>539</v>
      </c>
      <c r="N408" s="38">
        <v>486.887</v>
      </c>
      <c r="O408" s="38">
        <v>496.79300000000001</v>
      </c>
      <c r="P408" s="39" t="s">
        <v>540</v>
      </c>
      <c r="Q408" s="39" t="s">
        <v>540</v>
      </c>
      <c r="R408" s="40"/>
      <c r="S408" s="38">
        <v>473.91999999999996</v>
      </c>
      <c r="T408" s="39">
        <v>88.965646705462717</v>
      </c>
      <c r="U408" s="39">
        <v>-53.088945179759151</v>
      </c>
      <c r="V408" s="38" t="s">
        <v>539</v>
      </c>
      <c r="W408" s="38">
        <v>435.74700000000001</v>
      </c>
      <c r="X408" s="38">
        <v>444.47800000000001</v>
      </c>
      <c r="Y408" s="39" t="s">
        <v>540</v>
      </c>
      <c r="Z408" s="39" t="s">
        <v>540</v>
      </c>
      <c r="AA408" s="41" t="s">
        <v>540</v>
      </c>
      <c r="AB408" s="42" t="s">
        <v>540</v>
      </c>
      <c r="AC408" s="40"/>
      <c r="AD408" s="43">
        <v>108.95</v>
      </c>
      <c r="AE408" s="39">
        <v>-10.751587139053864</v>
      </c>
      <c r="AF408" s="39">
        <v>-4.1852447915292519</v>
      </c>
      <c r="AG408" s="43" t="s">
        <v>539</v>
      </c>
      <c r="AH408" s="43">
        <v>122.075</v>
      </c>
      <c r="AI408" s="43">
        <v>113.709</v>
      </c>
      <c r="AJ408" s="39" t="s">
        <v>539</v>
      </c>
      <c r="AK408" s="39" t="s">
        <v>539</v>
      </c>
      <c r="AL408" s="44"/>
      <c r="AM408" s="43">
        <v>108.95</v>
      </c>
      <c r="AN408" s="39">
        <v>-11.682689969358472</v>
      </c>
      <c r="AO408" s="39">
        <v>-4.1894577624566836</v>
      </c>
      <c r="AP408" s="43" t="s">
        <v>539</v>
      </c>
      <c r="AQ408" s="43">
        <v>123.36199999999999</v>
      </c>
      <c r="AR408" s="43">
        <v>113.714</v>
      </c>
      <c r="AS408" s="39" t="s">
        <v>539</v>
      </c>
      <c r="AT408" s="39" t="s">
        <v>539</v>
      </c>
      <c r="AU408" s="1">
        <v>17285.345709099998</v>
      </c>
    </row>
    <row r="409" spans="2:47" ht="18" customHeight="1" x14ac:dyDescent="0.25">
      <c r="B409" s="2">
        <f>IF(G409=$B$6,MAX(B$7:B408)+1,IF($B$6="Nifty 500 - All Sector",B408+1,0))</f>
        <v>0</v>
      </c>
      <c r="C409" s="36">
        <v>28294</v>
      </c>
      <c r="D409" s="36" t="s">
        <v>428</v>
      </c>
      <c r="E409" s="36" t="s">
        <v>527</v>
      </c>
      <c r="F409" s="36" t="s">
        <v>961</v>
      </c>
      <c r="G409" s="36" t="s">
        <v>618</v>
      </c>
      <c r="H409" s="36" t="s">
        <v>529</v>
      </c>
      <c r="I409" s="37" t="s">
        <v>540</v>
      </c>
      <c r="J409" s="38">
        <v>1630.4</v>
      </c>
      <c r="K409" s="39">
        <v>11.641410856004208</v>
      </c>
      <c r="L409" s="39">
        <v>3.510231031483535</v>
      </c>
      <c r="M409" s="38" t="s">
        <v>539</v>
      </c>
      <c r="N409" s="38">
        <v>1460.39</v>
      </c>
      <c r="O409" s="38">
        <v>1575.11</v>
      </c>
      <c r="P409" s="39" t="s">
        <v>540</v>
      </c>
      <c r="Q409" s="39" t="s">
        <v>540</v>
      </c>
      <c r="R409" s="40"/>
      <c r="S409" s="38">
        <v>445.08333333333331</v>
      </c>
      <c r="T409" s="39">
        <v>27.299026823683349</v>
      </c>
      <c r="U409" s="39">
        <v>-118.51452125535431</v>
      </c>
      <c r="V409" s="38" t="s">
        <v>539</v>
      </c>
      <c r="W409" s="38">
        <v>415.98</v>
      </c>
      <c r="X409" s="38">
        <v>410.91</v>
      </c>
      <c r="Y409" s="39" t="s">
        <v>540</v>
      </c>
      <c r="Z409" s="39" t="s">
        <v>540</v>
      </c>
      <c r="AA409" s="41" t="s">
        <v>540</v>
      </c>
      <c r="AB409" s="42" t="s">
        <v>540</v>
      </c>
      <c r="AC409" s="40"/>
      <c r="AD409" s="43">
        <v>233.56</v>
      </c>
      <c r="AE409" s="39">
        <v>-6.3324644074593923</v>
      </c>
      <c r="AF409" s="39">
        <v>13.312633417426746</v>
      </c>
      <c r="AG409" s="43" t="s">
        <v>539</v>
      </c>
      <c r="AH409" s="43">
        <v>249.35</v>
      </c>
      <c r="AI409" s="43">
        <v>206.12</v>
      </c>
      <c r="AJ409" s="39" t="s">
        <v>539</v>
      </c>
      <c r="AK409" s="39" t="s">
        <v>539</v>
      </c>
      <c r="AL409" s="44"/>
      <c r="AM409" s="43">
        <v>233.56</v>
      </c>
      <c r="AN409" s="39">
        <v>-5.3761698334886425</v>
      </c>
      <c r="AO409" s="39">
        <v>25.219815569375935</v>
      </c>
      <c r="AP409" s="43" t="s">
        <v>539</v>
      </c>
      <c r="AQ409" s="43">
        <v>246.83</v>
      </c>
      <c r="AR409" s="43">
        <v>186.52</v>
      </c>
      <c r="AS409" s="39" t="s">
        <v>539</v>
      </c>
      <c r="AT409" s="39" t="s">
        <v>539</v>
      </c>
      <c r="AU409" s="1">
        <v>18076.679956920001</v>
      </c>
    </row>
    <row r="410" spans="2:47" ht="18" customHeight="1" x14ac:dyDescent="0.25">
      <c r="B410" s="2">
        <f>IF(G410=$B$6,MAX(B$7:B409)+1,IF($B$6="Nifty 500 - All Sector",B409+1,0))</f>
        <v>0</v>
      </c>
      <c r="C410" s="36">
        <v>107</v>
      </c>
      <c r="D410" s="36" t="s">
        <v>429</v>
      </c>
      <c r="E410" s="36" t="s">
        <v>527</v>
      </c>
      <c r="F410" s="36" t="s">
        <v>962</v>
      </c>
      <c r="G410" s="36" t="s">
        <v>618</v>
      </c>
      <c r="H410" s="36" t="s">
        <v>529</v>
      </c>
      <c r="I410" s="37" t="s">
        <v>540</v>
      </c>
      <c r="J410" s="38">
        <v>163</v>
      </c>
      <c r="K410" s="39">
        <v>-58.709089066774744</v>
      </c>
      <c r="L410" s="39">
        <v>100.8131082912406</v>
      </c>
      <c r="M410" s="38" t="s">
        <v>539</v>
      </c>
      <c r="N410" s="38">
        <v>394.76</v>
      </c>
      <c r="O410" s="38">
        <v>81.17</v>
      </c>
      <c r="P410" s="39" t="s">
        <v>540</v>
      </c>
      <c r="Q410" s="39" t="s">
        <v>540</v>
      </c>
      <c r="R410" s="40"/>
      <c r="S410" s="38">
        <v>79.3</v>
      </c>
      <c r="T410" s="39">
        <v>48.650306748466257</v>
      </c>
      <c r="U410" s="39">
        <v>5498.8334917480342</v>
      </c>
      <c r="V410" s="38" t="s">
        <v>539</v>
      </c>
      <c r="W410" s="38">
        <v>-25.02</v>
      </c>
      <c r="X410" s="38">
        <v>-89.07</v>
      </c>
      <c r="Y410" s="39" t="s">
        <v>540</v>
      </c>
      <c r="Z410" s="39" t="s">
        <v>540</v>
      </c>
      <c r="AA410" s="41" t="s">
        <v>540</v>
      </c>
      <c r="AB410" s="42" t="s">
        <v>540</v>
      </c>
      <c r="AC410" s="40"/>
      <c r="AD410" s="43">
        <v>-100.35</v>
      </c>
      <c r="AE410" s="39" t="s">
        <v>548</v>
      </c>
      <c r="AF410" s="39" t="s">
        <v>548</v>
      </c>
      <c r="AG410" s="43" t="s">
        <v>539</v>
      </c>
      <c r="AH410" s="43">
        <v>-121.38</v>
      </c>
      <c r="AI410" s="43">
        <v>-105.79</v>
      </c>
      <c r="AJ410" s="39" t="s">
        <v>547</v>
      </c>
      <c r="AK410" s="39" t="s">
        <v>547</v>
      </c>
      <c r="AL410" s="44"/>
      <c r="AM410" s="43">
        <v>-100.35</v>
      </c>
      <c r="AN410" s="39" t="s">
        <v>548</v>
      </c>
      <c r="AO410" s="39" t="s">
        <v>548</v>
      </c>
      <c r="AP410" s="43" t="s">
        <v>539</v>
      </c>
      <c r="AQ410" s="43">
        <v>-131.01</v>
      </c>
      <c r="AR410" s="43">
        <v>-72.849999999999994</v>
      </c>
      <c r="AS410" s="39" t="s">
        <v>547</v>
      </c>
      <c r="AT410" s="39" t="s">
        <v>547</v>
      </c>
      <c r="AU410" s="1">
        <v>15762.4943616</v>
      </c>
    </row>
    <row r="411" spans="2:47" ht="18" customHeight="1" x14ac:dyDescent="0.25">
      <c r="B411" s="2">
        <f>IF(G411=$B$6,MAX(B$7:B410)+1,IF($B$6="Nifty 500 - All Sector",B410+1,0))</f>
        <v>0</v>
      </c>
      <c r="C411" s="36">
        <v>27443</v>
      </c>
      <c r="D411" s="36" t="s">
        <v>430</v>
      </c>
      <c r="E411" s="36" t="s">
        <v>527</v>
      </c>
      <c r="F411" s="36" t="s">
        <v>963</v>
      </c>
      <c r="G411" s="36" t="s">
        <v>618</v>
      </c>
      <c r="H411" s="36" t="s">
        <v>529</v>
      </c>
      <c r="I411" s="37" t="s">
        <v>540</v>
      </c>
      <c r="J411" s="38">
        <v>1565.0666666666666</v>
      </c>
      <c r="K411" s="39">
        <v>26.152282829162154</v>
      </c>
      <c r="L411" s="39">
        <v>65.946887241154187</v>
      </c>
      <c r="M411" s="38" t="s">
        <v>539</v>
      </c>
      <c r="N411" s="38">
        <v>1240.617</v>
      </c>
      <c r="O411" s="38">
        <v>943.11300000000006</v>
      </c>
      <c r="P411" s="39" t="s">
        <v>540</v>
      </c>
      <c r="Q411" s="39" t="s">
        <v>540</v>
      </c>
      <c r="R411" s="40"/>
      <c r="S411" s="38">
        <v>192.7</v>
      </c>
      <c r="T411" s="39">
        <v>12.312574544215368</v>
      </c>
      <c r="U411" s="39">
        <v>473.07825810228678</v>
      </c>
      <c r="V411" s="38" t="s">
        <v>539</v>
      </c>
      <c r="W411" s="38">
        <v>94.060999999999893</v>
      </c>
      <c r="X411" s="38">
        <v>38.753999999999898</v>
      </c>
      <c r="Y411" s="39" t="s">
        <v>540</v>
      </c>
      <c r="Z411" s="39" t="s">
        <v>540</v>
      </c>
      <c r="AA411" s="41" t="s">
        <v>540</v>
      </c>
      <c r="AB411" s="42" t="s">
        <v>540</v>
      </c>
      <c r="AC411" s="40"/>
      <c r="AD411" s="43">
        <v>115</v>
      </c>
      <c r="AE411" s="39">
        <v>181.47640493440443</v>
      </c>
      <c r="AF411" s="39">
        <v>633.79275140377274</v>
      </c>
      <c r="AG411" s="43" t="s">
        <v>539</v>
      </c>
      <c r="AH411" s="43">
        <v>40.855999999999902</v>
      </c>
      <c r="AI411" s="43">
        <v>15.6720000000001</v>
      </c>
      <c r="AJ411" s="39" t="s">
        <v>539</v>
      </c>
      <c r="AK411" s="39" t="s">
        <v>539</v>
      </c>
      <c r="AL411" s="44"/>
      <c r="AM411" s="43">
        <v>115</v>
      </c>
      <c r="AN411" s="39">
        <v>181.47640493440375</v>
      </c>
      <c r="AO411" s="39">
        <v>645.39797770287782</v>
      </c>
      <c r="AP411" s="43" t="s">
        <v>539</v>
      </c>
      <c r="AQ411" s="43">
        <v>40.856000000000002</v>
      </c>
      <c r="AR411" s="43">
        <v>15.428000000000001</v>
      </c>
      <c r="AS411" s="39" t="s">
        <v>539</v>
      </c>
      <c r="AT411" s="39" t="s">
        <v>539</v>
      </c>
      <c r="AU411" s="1">
        <v>14131.810086420001</v>
      </c>
    </row>
    <row r="412" spans="2:47" ht="18" customHeight="1" x14ac:dyDescent="0.25">
      <c r="B412" s="2">
        <f>IF(G412=$B$6,MAX(B$7:B411)+1,IF($B$6="Nifty 500 - All Sector",B411+1,0))</f>
        <v>0</v>
      </c>
      <c r="C412" s="36">
        <v>37716</v>
      </c>
      <c r="D412" s="36" t="s">
        <v>431</v>
      </c>
      <c r="E412" s="36" t="s">
        <v>527</v>
      </c>
      <c r="F412" s="36" t="s">
        <v>964</v>
      </c>
      <c r="G412" s="36" t="s">
        <v>618</v>
      </c>
      <c r="H412" s="36" t="s">
        <v>529</v>
      </c>
      <c r="I412" s="37" t="s">
        <v>540</v>
      </c>
      <c r="J412" s="38" t="s">
        <v>539</v>
      </c>
      <c r="K412" s="39" t="s">
        <v>540</v>
      </c>
      <c r="L412" s="39" t="s">
        <v>540</v>
      </c>
      <c r="M412" s="38" t="s">
        <v>539</v>
      </c>
      <c r="N412" s="38">
        <v>815.79200000000003</v>
      </c>
      <c r="O412" s="38">
        <v>872.197</v>
      </c>
      <c r="P412" s="39" t="s">
        <v>540</v>
      </c>
      <c r="Q412" s="39" t="s">
        <v>540</v>
      </c>
      <c r="R412" s="40"/>
      <c r="S412" s="38" t="s">
        <v>539</v>
      </c>
      <c r="T412" s="39" t="s">
        <v>540</v>
      </c>
      <c r="U412" s="39" t="s">
        <v>540</v>
      </c>
      <c r="V412" s="38" t="s">
        <v>539</v>
      </c>
      <c r="W412" s="38">
        <v>126.70099999999999</v>
      </c>
      <c r="X412" s="38">
        <v>126.08499999999999</v>
      </c>
      <c r="Y412" s="39" t="s">
        <v>540</v>
      </c>
      <c r="Z412" s="39" t="s">
        <v>540</v>
      </c>
      <c r="AA412" s="41" t="s">
        <v>540</v>
      </c>
      <c r="AB412" s="42" t="s">
        <v>540</v>
      </c>
      <c r="AC412" s="40"/>
      <c r="AD412" s="43" t="s">
        <v>540</v>
      </c>
      <c r="AE412" s="39" t="s">
        <v>539</v>
      </c>
      <c r="AF412" s="39" t="s">
        <v>539</v>
      </c>
      <c r="AG412" s="43" t="s">
        <v>539</v>
      </c>
      <c r="AH412" s="43">
        <v>134.64699999999999</v>
      </c>
      <c r="AI412" s="43">
        <v>119.25</v>
      </c>
      <c r="AJ412" s="39" t="s">
        <v>539</v>
      </c>
      <c r="AK412" s="39" t="s">
        <v>539</v>
      </c>
      <c r="AL412" s="44"/>
      <c r="AM412" s="43" t="s">
        <v>539</v>
      </c>
      <c r="AN412" s="39" t="s">
        <v>539</v>
      </c>
      <c r="AO412" s="39" t="s">
        <v>539</v>
      </c>
      <c r="AP412" s="43" t="s">
        <v>539</v>
      </c>
      <c r="AQ412" s="43">
        <v>134.64699999999999</v>
      </c>
      <c r="AR412" s="43">
        <v>119.25</v>
      </c>
      <c r="AS412" s="39" t="s">
        <v>539</v>
      </c>
      <c r="AT412" s="39" t="s">
        <v>539</v>
      </c>
      <c r="AU412" s="1">
        <v>13910.59204614</v>
      </c>
    </row>
    <row r="413" spans="2:47" ht="18" customHeight="1" x14ac:dyDescent="0.25">
      <c r="B413" s="2">
        <f>IF(G413=$B$6,MAX(B$7:B412)+1,IF($B$6="Nifty 500 - All Sector",B412+1,0))</f>
        <v>0</v>
      </c>
      <c r="C413" s="36">
        <v>5497</v>
      </c>
      <c r="D413" s="36" t="s">
        <v>432</v>
      </c>
      <c r="E413" s="36" t="s">
        <v>533</v>
      </c>
      <c r="F413" s="36" t="s">
        <v>965</v>
      </c>
      <c r="G413" s="36" t="s">
        <v>618</v>
      </c>
      <c r="H413" s="36" t="s">
        <v>529</v>
      </c>
      <c r="I413" s="37" t="s">
        <v>540</v>
      </c>
      <c r="J413" s="38">
        <v>3686.1</v>
      </c>
      <c r="K413" s="39">
        <v>13.647504971558067</v>
      </c>
      <c r="L413" s="39">
        <v>87.554379627038443</v>
      </c>
      <c r="M413" s="38" t="s">
        <v>539</v>
      </c>
      <c r="N413" s="38">
        <v>3243.45</v>
      </c>
      <c r="O413" s="38">
        <v>1965.35</v>
      </c>
      <c r="P413" s="39" t="s">
        <v>540</v>
      </c>
      <c r="Q413" s="39" t="s">
        <v>540</v>
      </c>
      <c r="R413" s="40"/>
      <c r="S413" s="38">
        <v>189.76666666666668</v>
      </c>
      <c r="T413" s="39">
        <v>5.1481692484378252</v>
      </c>
      <c r="U413" s="39">
        <v>88.542433175959616</v>
      </c>
      <c r="V413" s="38" t="s">
        <v>539</v>
      </c>
      <c r="W413" s="38">
        <v>138.26</v>
      </c>
      <c r="X413" s="38">
        <v>55.740000000000101</v>
      </c>
      <c r="Y413" s="39" t="s">
        <v>540</v>
      </c>
      <c r="Z413" s="39" t="s">
        <v>540</v>
      </c>
      <c r="AA413" s="41" t="s">
        <v>540</v>
      </c>
      <c r="AB413" s="42" t="s">
        <v>540</v>
      </c>
      <c r="AC413" s="40"/>
      <c r="AD413" s="43">
        <v>209.3</v>
      </c>
      <c r="AE413" s="39">
        <v>-4.0832225837496017</v>
      </c>
      <c r="AF413" s="39">
        <v>129.54595305988104</v>
      </c>
      <c r="AG413" s="43" t="s">
        <v>539</v>
      </c>
      <c r="AH413" s="43">
        <v>218.21</v>
      </c>
      <c r="AI413" s="43">
        <v>91.180000000000206</v>
      </c>
      <c r="AJ413" s="39" t="s">
        <v>539</v>
      </c>
      <c r="AK413" s="39" t="s">
        <v>539</v>
      </c>
      <c r="AL413" s="44"/>
      <c r="AM413" s="43">
        <v>209.3</v>
      </c>
      <c r="AN413" s="39">
        <v>-4.0832225837496017</v>
      </c>
      <c r="AO413" s="39">
        <v>129.54595305988104</v>
      </c>
      <c r="AP413" s="43" t="s">
        <v>539</v>
      </c>
      <c r="AQ413" s="43">
        <v>218.21</v>
      </c>
      <c r="AR413" s="43">
        <v>91.180000000000206</v>
      </c>
      <c r="AS413" s="39" t="s">
        <v>539</v>
      </c>
      <c r="AT413" s="39" t="s">
        <v>539</v>
      </c>
      <c r="AU413" s="1">
        <v>13294.1899849</v>
      </c>
    </row>
    <row r="414" spans="2:47" ht="18" customHeight="1" x14ac:dyDescent="0.25">
      <c r="B414" s="2">
        <f>IF(G414=$B$6,MAX(B$7:B413)+1,IF($B$6="Nifty 500 - All Sector",B413+1,0))</f>
        <v>0</v>
      </c>
      <c r="C414" s="36">
        <v>77225</v>
      </c>
      <c r="D414" s="36" t="s">
        <v>433</v>
      </c>
      <c r="E414" s="36" t="s">
        <v>527</v>
      </c>
      <c r="F414" s="36" t="s">
        <v>966</v>
      </c>
      <c r="G414" s="36" t="s">
        <v>618</v>
      </c>
      <c r="H414" s="36" t="s">
        <v>529</v>
      </c>
      <c r="I414" s="37" t="s">
        <v>540</v>
      </c>
      <c r="J414" s="38">
        <v>958.55</v>
      </c>
      <c r="K414" s="39">
        <v>84.183170552213255</v>
      </c>
      <c r="L414" s="39">
        <v>236.99786948298046</v>
      </c>
      <c r="M414" s="38" t="s">
        <v>539</v>
      </c>
      <c r="N414" s="38">
        <v>520.43299999999999</v>
      </c>
      <c r="O414" s="38">
        <v>284.43799999999999</v>
      </c>
      <c r="P414" s="39" t="s">
        <v>540</v>
      </c>
      <c r="Q414" s="39" t="s">
        <v>540</v>
      </c>
      <c r="R414" s="40"/>
      <c r="S414" s="38">
        <v>95.8</v>
      </c>
      <c r="T414" s="39">
        <v>9.9942621668144582</v>
      </c>
      <c r="U414" s="39">
        <v>162.50772765404164</v>
      </c>
      <c r="V414" s="38" t="s">
        <v>539</v>
      </c>
      <c r="W414" s="38">
        <v>43.555999999999898</v>
      </c>
      <c r="X414" s="38">
        <v>-63.241999999999997</v>
      </c>
      <c r="Y414" s="39" t="s">
        <v>540</v>
      </c>
      <c r="Z414" s="39" t="s">
        <v>540</v>
      </c>
      <c r="AA414" s="41" t="s">
        <v>540</v>
      </c>
      <c r="AB414" s="42" t="s">
        <v>540</v>
      </c>
      <c r="AC414" s="40"/>
      <c r="AD414" s="43">
        <v>80.900000000000006</v>
      </c>
      <c r="AE414" s="39">
        <v>32.349573013120448</v>
      </c>
      <c r="AF414" s="39" t="s">
        <v>547</v>
      </c>
      <c r="AG414" s="43" t="s">
        <v>539</v>
      </c>
      <c r="AH414" s="43">
        <v>61.125999999999998</v>
      </c>
      <c r="AI414" s="43">
        <v>-45.338000000000001</v>
      </c>
      <c r="AJ414" s="39" t="s">
        <v>539</v>
      </c>
      <c r="AK414" s="39" t="s">
        <v>547</v>
      </c>
      <c r="AL414" s="44"/>
      <c r="AM414" s="43">
        <v>80.900000000000006</v>
      </c>
      <c r="AN414" s="39">
        <v>32.416728046484991</v>
      </c>
      <c r="AO414" s="39" t="s">
        <v>547</v>
      </c>
      <c r="AP414" s="43" t="s">
        <v>539</v>
      </c>
      <c r="AQ414" s="43">
        <v>61.094999999999999</v>
      </c>
      <c r="AR414" s="43">
        <v>-45.338000000000001</v>
      </c>
      <c r="AS414" s="39" t="s">
        <v>539</v>
      </c>
      <c r="AT414" s="39" t="s">
        <v>547</v>
      </c>
      <c r="AU414" s="1">
        <v>11261.229330194999</v>
      </c>
    </row>
    <row r="415" spans="2:47" ht="18" customHeight="1" x14ac:dyDescent="0.25">
      <c r="B415" s="2">
        <f>IF(G415=$B$6,MAX(B$7:B414)+1,IF($B$6="Nifty 500 - All Sector",B414+1,0))</f>
        <v>0</v>
      </c>
      <c r="C415" s="36">
        <v>6437</v>
      </c>
      <c r="D415" s="36" t="s">
        <v>434</v>
      </c>
      <c r="E415" s="36" t="s">
        <v>527</v>
      </c>
      <c r="F415" s="36" t="s">
        <v>967</v>
      </c>
      <c r="G415" s="36" t="s">
        <v>618</v>
      </c>
      <c r="H415" s="36" t="s">
        <v>529</v>
      </c>
      <c r="I415" s="37" t="s">
        <v>540</v>
      </c>
      <c r="J415" s="38">
        <v>3672.1</v>
      </c>
      <c r="K415" s="39">
        <v>13.924678975078098</v>
      </c>
      <c r="L415" s="39">
        <v>23.399993951145426</v>
      </c>
      <c r="M415" s="38" t="s">
        <v>539</v>
      </c>
      <c r="N415" s="38">
        <v>3223.27</v>
      </c>
      <c r="O415" s="38">
        <v>2975.77</v>
      </c>
      <c r="P415" s="39" t="s">
        <v>540</v>
      </c>
      <c r="Q415" s="39" t="s">
        <v>540</v>
      </c>
      <c r="R415" s="40"/>
      <c r="S415" s="38">
        <v>391.9</v>
      </c>
      <c r="T415" s="39">
        <v>10.672367310258435</v>
      </c>
      <c r="U415" s="39">
        <v>156.26743586906179</v>
      </c>
      <c r="V415" s="38" t="s">
        <v>539</v>
      </c>
      <c r="W415" s="38">
        <v>293.63</v>
      </c>
      <c r="X415" s="38">
        <v>410.28</v>
      </c>
      <c r="Y415" s="39" t="s">
        <v>540</v>
      </c>
      <c r="Z415" s="39" t="s">
        <v>540</v>
      </c>
      <c r="AA415" s="41" t="s">
        <v>540</v>
      </c>
      <c r="AB415" s="42" t="s">
        <v>540</v>
      </c>
      <c r="AC415" s="40"/>
      <c r="AD415" s="43">
        <v>123.04</v>
      </c>
      <c r="AE415" s="39">
        <v>10.926794085827618</v>
      </c>
      <c r="AF415" s="39">
        <v>27.0943084392107</v>
      </c>
      <c r="AG415" s="43" t="s">
        <v>539</v>
      </c>
      <c r="AH415" s="43">
        <v>110.92</v>
      </c>
      <c r="AI415" s="43">
        <v>96.810000000000102</v>
      </c>
      <c r="AJ415" s="39" t="s">
        <v>539</v>
      </c>
      <c r="AK415" s="39" t="s">
        <v>539</v>
      </c>
      <c r="AL415" s="44"/>
      <c r="AM415" s="43">
        <v>123.04</v>
      </c>
      <c r="AN415" s="39">
        <v>10.916794374830975</v>
      </c>
      <c r="AO415" s="39">
        <v>26.727778349984543</v>
      </c>
      <c r="AP415" s="43" t="s">
        <v>539</v>
      </c>
      <c r="AQ415" s="43">
        <v>110.93</v>
      </c>
      <c r="AR415" s="43">
        <v>97.09</v>
      </c>
      <c r="AS415" s="39" t="s">
        <v>539</v>
      </c>
      <c r="AT415" s="39" t="s">
        <v>539</v>
      </c>
      <c r="AU415" s="1">
        <v>12414.570219405001</v>
      </c>
    </row>
    <row r="416" spans="2:47" ht="18" customHeight="1" x14ac:dyDescent="0.25">
      <c r="B416" s="2">
        <f>IF(G416=$B$6,MAX(B$7:B415)+1,IF($B$6="Nifty 500 - All Sector",B415+1,0))</f>
        <v>0</v>
      </c>
      <c r="C416" s="36">
        <v>24268</v>
      </c>
      <c r="D416" s="36" t="s">
        <v>435</v>
      </c>
      <c r="E416" s="36" t="s">
        <v>527</v>
      </c>
      <c r="F416" s="36" t="s">
        <v>968</v>
      </c>
      <c r="G416" s="36" t="s">
        <v>618</v>
      </c>
      <c r="H416" s="36" t="s">
        <v>529</v>
      </c>
      <c r="I416" s="37" t="s">
        <v>540</v>
      </c>
      <c r="J416" s="38">
        <v>972.5</v>
      </c>
      <c r="K416" s="39">
        <v>58.019596054790966</v>
      </c>
      <c r="L416" s="39">
        <v>59.795593092229574</v>
      </c>
      <c r="M416" s="38" t="s">
        <v>539</v>
      </c>
      <c r="N416" s="38">
        <v>615.42999999999995</v>
      </c>
      <c r="O416" s="38">
        <v>608.59</v>
      </c>
      <c r="P416" s="39" t="s">
        <v>540</v>
      </c>
      <c r="Q416" s="39" t="s">
        <v>540</v>
      </c>
      <c r="R416" s="40"/>
      <c r="S416" s="38">
        <v>205.1</v>
      </c>
      <c r="T416" s="39">
        <v>21.089974293059125</v>
      </c>
      <c r="U416" s="39">
        <v>-906.94264511359927</v>
      </c>
      <c r="V416" s="38" t="s">
        <v>539</v>
      </c>
      <c r="W416" s="38">
        <v>185.61</v>
      </c>
      <c r="X416" s="38">
        <v>142.19</v>
      </c>
      <c r="Y416" s="39" t="s">
        <v>540</v>
      </c>
      <c r="Z416" s="39" t="s">
        <v>540</v>
      </c>
      <c r="AA416" s="41" t="s">
        <v>540</v>
      </c>
      <c r="AB416" s="42" t="s">
        <v>540</v>
      </c>
      <c r="AC416" s="40"/>
      <c r="AD416" s="43">
        <v>124.9</v>
      </c>
      <c r="AE416" s="39">
        <v>-9.2494368960255642</v>
      </c>
      <c r="AF416" s="39">
        <v>11.687382634355735</v>
      </c>
      <c r="AG416" s="43" t="s">
        <v>539</v>
      </c>
      <c r="AH416" s="43">
        <v>137.63</v>
      </c>
      <c r="AI416" s="43">
        <v>111.83</v>
      </c>
      <c r="AJ416" s="39" t="s">
        <v>539</v>
      </c>
      <c r="AK416" s="39" t="s">
        <v>539</v>
      </c>
      <c r="AL416" s="44"/>
      <c r="AM416" s="43">
        <v>124.9</v>
      </c>
      <c r="AN416" s="39">
        <v>-5.8850124331248583</v>
      </c>
      <c r="AO416" s="39">
        <v>22.462986567310537</v>
      </c>
      <c r="AP416" s="43" t="s">
        <v>539</v>
      </c>
      <c r="AQ416" s="43">
        <v>132.71</v>
      </c>
      <c r="AR416" s="43">
        <v>101.99</v>
      </c>
      <c r="AS416" s="39" t="s">
        <v>539</v>
      </c>
      <c r="AT416" s="39" t="s">
        <v>539</v>
      </c>
      <c r="AU416" s="1">
        <v>10229.65132959</v>
      </c>
    </row>
    <row r="417" spans="2:47" ht="18" customHeight="1" x14ac:dyDescent="0.25">
      <c r="B417" s="2">
        <f>IF(G417=$B$6,MAX(B$7:B416)+1,IF($B$6="Nifty 500 - All Sector",B416+1,0))</f>
        <v>0</v>
      </c>
      <c r="C417" s="36">
        <v>2598</v>
      </c>
      <c r="D417" s="36" t="s">
        <v>436</v>
      </c>
      <c r="E417" s="36" t="s">
        <v>533</v>
      </c>
      <c r="F417" s="36" t="s">
        <v>969</v>
      </c>
      <c r="G417" s="36" t="s">
        <v>618</v>
      </c>
      <c r="H417" s="36" t="s">
        <v>529</v>
      </c>
      <c r="I417" s="37" t="s">
        <v>540</v>
      </c>
      <c r="J417" s="38">
        <v>5844.2166666666662</v>
      </c>
      <c r="K417" s="39">
        <v>8.7081741399215318</v>
      </c>
      <c r="L417" s="39">
        <v>44.555421163243778</v>
      </c>
      <c r="M417" s="38" t="s">
        <v>539</v>
      </c>
      <c r="N417" s="38">
        <v>5376.06</v>
      </c>
      <c r="O417" s="38">
        <v>4042.89</v>
      </c>
      <c r="P417" s="39" t="s">
        <v>540</v>
      </c>
      <c r="Q417" s="39" t="s">
        <v>540</v>
      </c>
      <c r="R417" s="40"/>
      <c r="S417" s="38">
        <v>490.91999999999996</v>
      </c>
      <c r="T417" s="39">
        <v>8.400099243411578</v>
      </c>
      <c r="U417" s="39">
        <v>-81.240954555283025</v>
      </c>
      <c r="V417" s="38" t="s">
        <v>539</v>
      </c>
      <c r="W417" s="38">
        <v>495.27</v>
      </c>
      <c r="X417" s="38">
        <v>327.31</v>
      </c>
      <c r="Y417" s="39" t="s">
        <v>540</v>
      </c>
      <c r="Z417" s="39" t="s">
        <v>540</v>
      </c>
      <c r="AA417" s="41" t="s">
        <v>540</v>
      </c>
      <c r="AB417" s="42" t="s">
        <v>540</v>
      </c>
      <c r="AC417" s="40"/>
      <c r="AD417" s="43">
        <v>225.1833</v>
      </c>
      <c r="AE417" s="39">
        <v>5.0295242537313323</v>
      </c>
      <c r="AF417" s="39">
        <v>174.58029508596718</v>
      </c>
      <c r="AG417" s="43" t="s">
        <v>539</v>
      </c>
      <c r="AH417" s="43">
        <v>214.4</v>
      </c>
      <c r="AI417" s="43">
        <v>82.009999999999394</v>
      </c>
      <c r="AJ417" s="39" t="s">
        <v>539</v>
      </c>
      <c r="AK417" s="39" t="s">
        <v>539</v>
      </c>
      <c r="AL417" s="44"/>
      <c r="AM417" s="43">
        <v>225.1833</v>
      </c>
      <c r="AN417" s="39">
        <v>5.0295242537313323</v>
      </c>
      <c r="AO417" s="39">
        <v>174.58029508596718</v>
      </c>
      <c r="AP417" s="43" t="s">
        <v>539</v>
      </c>
      <c r="AQ417" s="43">
        <v>214.4</v>
      </c>
      <c r="AR417" s="43">
        <v>82.009999999999394</v>
      </c>
      <c r="AS417" s="39" t="s">
        <v>539</v>
      </c>
      <c r="AT417" s="39" t="s">
        <v>539</v>
      </c>
      <c r="AU417" s="1">
        <v>9759.8752104600007</v>
      </c>
    </row>
    <row r="418" spans="2:47" ht="18" customHeight="1" x14ac:dyDescent="0.25">
      <c r="B418" s="2">
        <f>IF(G418=$B$6,MAX(B$7:B417)+1,IF($B$6="Nifty 500 - All Sector",B417+1,0))</f>
        <v>18</v>
      </c>
      <c r="C418" s="36">
        <v>71706</v>
      </c>
      <c r="D418" s="36" t="s">
        <v>437</v>
      </c>
      <c r="E418" s="36" t="s">
        <v>527</v>
      </c>
      <c r="F418" s="36" t="s">
        <v>970</v>
      </c>
      <c r="G418" s="36" t="s">
        <v>531</v>
      </c>
      <c r="H418" s="36" t="s">
        <v>529</v>
      </c>
      <c r="I418" s="37" t="s">
        <v>540</v>
      </c>
      <c r="J418" s="38">
        <v>861.8714285714284</v>
      </c>
      <c r="K418" s="39">
        <v>19.050250094125666</v>
      </c>
      <c r="L418" s="39">
        <v>5.7575837255571916</v>
      </c>
      <c r="M418" s="38" t="s">
        <v>539</v>
      </c>
      <c r="N418" s="38">
        <v>723.95600000000002</v>
      </c>
      <c r="O418" s="38">
        <v>814.95</v>
      </c>
      <c r="P418" s="39" t="s">
        <v>540</v>
      </c>
      <c r="Q418" s="39" t="s">
        <v>540</v>
      </c>
      <c r="R418" s="40"/>
      <c r="S418" s="38">
        <v>295.21666666666664</v>
      </c>
      <c r="T418" s="39">
        <v>34.252982159531037</v>
      </c>
      <c r="U418" s="39">
        <v>301.13044885123549</v>
      </c>
      <c r="V418" s="38" t="s">
        <v>539</v>
      </c>
      <c r="W418" s="38">
        <v>226.17599999999999</v>
      </c>
      <c r="X418" s="38">
        <v>281.60300000000001</v>
      </c>
      <c r="Y418" s="39" t="s">
        <v>540</v>
      </c>
      <c r="Z418" s="39" t="s">
        <v>540</v>
      </c>
      <c r="AA418" s="41" t="s">
        <v>540</v>
      </c>
      <c r="AB418" s="42" t="s">
        <v>540</v>
      </c>
      <c r="AC418" s="40"/>
      <c r="AD418" s="43">
        <v>191.65710000000001</v>
      </c>
      <c r="AE418" s="39">
        <v>29.6715200064952</v>
      </c>
      <c r="AF418" s="39">
        <v>3.1945790527880158</v>
      </c>
      <c r="AG418" s="43" t="s">
        <v>539</v>
      </c>
      <c r="AH418" s="43">
        <v>147.80199999999999</v>
      </c>
      <c r="AI418" s="43">
        <v>185.72399999999999</v>
      </c>
      <c r="AJ418" s="39" t="s">
        <v>539</v>
      </c>
      <c r="AK418" s="39" t="s">
        <v>539</v>
      </c>
      <c r="AL418" s="44"/>
      <c r="AM418" s="43">
        <v>191.65710000000001</v>
      </c>
      <c r="AN418" s="39">
        <v>29.6715200064952</v>
      </c>
      <c r="AO418" s="39">
        <v>4.5432776226217442</v>
      </c>
      <c r="AP418" s="43" t="s">
        <v>539</v>
      </c>
      <c r="AQ418" s="43">
        <v>147.80199999999999</v>
      </c>
      <c r="AR418" s="43">
        <v>183.328</v>
      </c>
      <c r="AS418" s="39" t="s">
        <v>539</v>
      </c>
      <c r="AT418" s="39" t="s">
        <v>539</v>
      </c>
      <c r="AU418" s="1">
        <v>26042.231938814999</v>
      </c>
    </row>
    <row r="419" spans="2:47" ht="18" customHeight="1" x14ac:dyDescent="0.25">
      <c r="B419" s="2">
        <f>IF(G419=$B$6,MAX(B$7:B418)+1,IF($B$6="Nifty 500 - All Sector",B418+1,0))</f>
        <v>19</v>
      </c>
      <c r="C419" s="36">
        <v>93271</v>
      </c>
      <c r="D419" s="36" t="s">
        <v>438</v>
      </c>
      <c r="E419" s="36" t="s">
        <v>527</v>
      </c>
      <c r="F419" s="36" t="s">
        <v>971</v>
      </c>
      <c r="G419" s="36" t="s">
        <v>531</v>
      </c>
      <c r="H419" s="36" t="s">
        <v>529</v>
      </c>
      <c r="I419" s="37" t="s">
        <v>540</v>
      </c>
      <c r="J419" s="38">
        <v>1970.6714285714286</v>
      </c>
      <c r="K419" s="39">
        <v>25.642434348464917</v>
      </c>
      <c r="L419" s="39">
        <v>-2.4430951253984201E-2</v>
      </c>
      <c r="M419" s="38" t="s">
        <v>539</v>
      </c>
      <c r="N419" s="38">
        <v>1568.4760000000001</v>
      </c>
      <c r="O419" s="38">
        <v>1971.153</v>
      </c>
      <c r="P419" s="39" t="s">
        <v>540</v>
      </c>
      <c r="Q419" s="39" t="s">
        <v>540</v>
      </c>
      <c r="R419" s="40"/>
      <c r="S419" s="38">
        <v>469.05</v>
      </c>
      <c r="T419" s="39">
        <v>23.801532472616298</v>
      </c>
      <c r="U419" s="39">
        <v>1.8382459482531033</v>
      </c>
      <c r="V419" s="38" t="s">
        <v>539</v>
      </c>
      <c r="W419" s="38">
        <v>373.03300000000002</v>
      </c>
      <c r="X419" s="38">
        <v>511.11</v>
      </c>
      <c r="Y419" s="39" t="s">
        <v>540</v>
      </c>
      <c r="Z419" s="39" t="s">
        <v>540</v>
      </c>
      <c r="AA419" s="41" t="s">
        <v>540</v>
      </c>
      <c r="AB419" s="42" t="s">
        <v>540</v>
      </c>
      <c r="AC419" s="40"/>
      <c r="AD419" s="43">
        <v>238.4</v>
      </c>
      <c r="AE419" s="39">
        <v>30.578621037179854</v>
      </c>
      <c r="AF419" s="39">
        <v>-10.930448037779838</v>
      </c>
      <c r="AG419" s="43" t="s">
        <v>539</v>
      </c>
      <c r="AH419" s="43">
        <v>182.572</v>
      </c>
      <c r="AI419" s="43">
        <v>267.65600000000001</v>
      </c>
      <c r="AJ419" s="39" t="s">
        <v>539</v>
      </c>
      <c r="AK419" s="39" t="s">
        <v>539</v>
      </c>
      <c r="AL419" s="44"/>
      <c r="AM419" s="43">
        <v>238.4</v>
      </c>
      <c r="AN419" s="39">
        <v>30.578621037179854</v>
      </c>
      <c r="AO419" s="39">
        <v>-10.930448037779838</v>
      </c>
      <c r="AP419" s="43" t="s">
        <v>539</v>
      </c>
      <c r="AQ419" s="43">
        <v>182.572</v>
      </c>
      <c r="AR419" s="43">
        <v>267.65600000000001</v>
      </c>
      <c r="AS419" s="39" t="s">
        <v>539</v>
      </c>
      <c r="AT419" s="39" t="s">
        <v>539</v>
      </c>
      <c r="AU419" s="1">
        <v>20054.810921291999</v>
      </c>
    </row>
    <row r="420" spans="2:47" ht="18" customHeight="1" x14ac:dyDescent="0.25">
      <c r="B420" s="2">
        <f>IF(G420=$B$6,MAX(B$7:B419)+1,IF($B$6="Nifty 500 - All Sector",B419+1,0))</f>
        <v>20</v>
      </c>
      <c r="C420" s="36">
        <v>72062</v>
      </c>
      <c r="D420" s="36" t="s">
        <v>439</v>
      </c>
      <c r="E420" s="36" t="s">
        <v>527</v>
      </c>
      <c r="F420" s="36" t="s">
        <v>972</v>
      </c>
      <c r="G420" s="36" t="s">
        <v>531</v>
      </c>
      <c r="H420" s="36" t="s">
        <v>535</v>
      </c>
      <c r="I420" s="37" t="s">
        <v>540</v>
      </c>
      <c r="J420" s="38">
        <v>1660.2307692307691</v>
      </c>
      <c r="K420" s="39">
        <v>8.6293903225169935</v>
      </c>
      <c r="L420" s="39">
        <v>2.6443804282376915</v>
      </c>
      <c r="M420" s="38" t="s">
        <v>539</v>
      </c>
      <c r="N420" s="38">
        <v>1528.3440000000001</v>
      </c>
      <c r="O420" s="38">
        <v>1617.4590000000001</v>
      </c>
      <c r="P420" s="39" t="s">
        <v>540</v>
      </c>
      <c r="Q420" s="39" t="s">
        <v>540</v>
      </c>
      <c r="R420" s="40"/>
      <c r="S420" s="38">
        <v>342.36153846153849</v>
      </c>
      <c r="T420" s="39">
        <v>20.621322337024512</v>
      </c>
      <c r="U420" s="39">
        <v>-51.207433283515158</v>
      </c>
      <c r="V420" s="38" t="s">
        <v>539</v>
      </c>
      <c r="W420" s="38">
        <v>322.99099999999999</v>
      </c>
      <c r="X420" s="38">
        <v>315.19099999999997</v>
      </c>
      <c r="Y420" s="39" t="s">
        <v>540</v>
      </c>
      <c r="Z420" s="39" t="s">
        <v>540</v>
      </c>
      <c r="AA420" s="41" t="s">
        <v>540</v>
      </c>
      <c r="AB420" s="42" t="s">
        <v>540</v>
      </c>
      <c r="AC420" s="40"/>
      <c r="AD420" s="43">
        <v>196.1833</v>
      </c>
      <c r="AE420" s="39">
        <v>-14.920789803503197</v>
      </c>
      <c r="AF420" s="39">
        <v>42.542959071720766</v>
      </c>
      <c r="AG420" s="43" t="s">
        <v>539</v>
      </c>
      <c r="AH420" s="43">
        <v>230.589</v>
      </c>
      <c r="AI420" s="43">
        <v>137.631</v>
      </c>
      <c r="AJ420" s="39" t="s">
        <v>539</v>
      </c>
      <c r="AK420" s="39" t="s">
        <v>539</v>
      </c>
      <c r="AL420" s="44"/>
      <c r="AM420" s="43">
        <v>196.1833</v>
      </c>
      <c r="AN420" s="39">
        <v>-19.835202778629068</v>
      </c>
      <c r="AO420" s="39">
        <v>47.169852367520846</v>
      </c>
      <c r="AP420" s="43" t="s">
        <v>539</v>
      </c>
      <c r="AQ420" s="43">
        <v>244.72499999999999</v>
      </c>
      <c r="AR420" s="43">
        <v>133.304</v>
      </c>
      <c r="AS420" s="39" t="s">
        <v>539</v>
      </c>
      <c r="AT420" s="39" t="s">
        <v>539</v>
      </c>
      <c r="AU420" s="1">
        <v>19980.971446079999</v>
      </c>
    </row>
    <row r="421" spans="2:47" ht="18" customHeight="1" x14ac:dyDescent="0.25">
      <c r="B421" s="2">
        <f>IF(G421=$B$6,MAX(B$7:B420)+1,IF($B$6="Nifty 500 - All Sector",B420+1,0))</f>
        <v>21</v>
      </c>
      <c r="C421" s="36">
        <v>78854</v>
      </c>
      <c r="D421" s="36" t="s">
        <v>440</v>
      </c>
      <c r="E421" s="36" t="s">
        <v>533</v>
      </c>
      <c r="F421" s="36" t="s">
        <v>973</v>
      </c>
      <c r="G421" s="36" t="s">
        <v>531</v>
      </c>
      <c r="H421" s="36" t="s">
        <v>529</v>
      </c>
      <c r="I421" s="37" t="s">
        <v>540</v>
      </c>
      <c r="J421" s="38">
        <v>837.45</v>
      </c>
      <c r="K421" s="39">
        <v>101.96502600982514</v>
      </c>
      <c r="L421" s="39">
        <v>4.0407491381184713</v>
      </c>
      <c r="M421" s="38" t="s">
        <v>539</v>
      </c>
      <c r="N421" s="38">
        <v>414.65100000000001</v>
      </c>
      <c r="O421" s="38">
        <v>804.92499999999995</v>
      </c>
      <c r="P421" s="39" t="s">
        <v>540</v>
      </c>
      <c r="Q421" s="39" t="s">
        <v>540</v>
      </c>
      <c r="R421" s="40"/>
      <c r="S421" s="38">
        <v>127.55</v>
      </c>
      <c r="T421" s="39">
        <v>15.230760045375844</v>
      </c>
      <c r="U421" s="39">
        <v>81.743413997588192</v>
      </c>
      <c r="V421" s="38" t="s">
        <v>539</v>
      </c>
      <c r="W421" s="38">
        <v>59.765000000000001</v>
      </c>
      <c r="X421" s="38">
        <v>97.944999999999894</v>
      </c>
      <c r="Y421" s="39" t="s">
        <v>540</v>
      </c>
      <c r="Z421" s="39" t="s">
        <v>540</v>
      </c>
      <c r="AA421" s="41" t="s">
        <v>540</v>
      </c>
      <c r="AB421" s="42" t="s">
        <v>540</v>
      </c>
      <c r="AC421" s="40"/>
      <c r="AD421" s="43">
        <v>85.5</v>
      </c>
      <c r="AE421" s="39">
        <v>98.864957901102485</v>
      </c>
      <c r="AF421" s="39">
        <v>16.626427139174371</v>
      </c>
      <c r="AG421" s="43" t="s">
        <v>539</v>
      </c>
      <c r="AH421" s="43">
        <v>42.994</v>
      </c>
      <c r="AI421" s="43">
        <v>73.310999999999893</v>
      </c>
      <c r="AJ421" s="39" t="s">
        <v>539</v>
      </c>
      <c r="AK421" s="39" t="s">
        <v>539</v>
      </c>
      <c r="AL421" s="44"/>
      <c r="AM421" s="43">
        <v>85.5</v>
      </c>
      <c r="AN421" s="39">
        <v>98.864957901102485</v>
      </c>
      <c r="AO421" s="39">
        <v>16.626427139174371</v>
      </c>
      <c r="AP421" s="43" t="s">
        <v>539</v>
      </c>
      <c r="AQ421" s="43">
        <v>42.994</v>
      </c>
      <c r="AR421" s="43">
        <v>73.310999999999893</v>
      </c>
      <c r="AS421" s="39" t="s">
        <v>539</v>
      </c>
      <c r="AT421" s="39" t="s">
        <v>539</v>
      </c>
      <c r="AU421" s="1">
        <v>20303.91017046</v>
      </c>
    </row>
    <row r="422" spans="2:47" ht="18" customHeight="1" x14ac:dyDescent="0.25">
      <c r="B422" s="2">
        <f>IF(G422=$B$6,MAX(B$7:B421)+1,IF($B$6="Nifty 500 - All Sector",B421+1,0))</f>
        <v>22</v>
      </c>
      <c r="C422" s="36">
        <v>77096</v>
      </c>
      <c r="D422" s="36" t="s">
        <v>441</v>
      </c>
      <c r="E422" s="36" t="s">
        <v>527</v>
      </c>
      <c r="F422" s="36" t="s">
        <v>974</v>
      </c>
      <c r="G422" s="36" t="s">
        <v>531</v>
      </c>
      <c r="H422" s="36" t="s">
        <v>529</v>
      </c>
      <c r="I422" s="37" t="s">
        <v>540</v>
      </c>
      <c r="J422" s="38" t="s">
        <v>539</v>
      </c>
      <c r="K422" s="39" t="s">
        <v>540</v>
      </c>
      <c r="L422" s="39" t="s">
        <v>540</v>
      </c>
      <c r="M422" s="38" t="s">
        <v>539</v>
      </c>
      <c r="N422" s="38">
        <v>0</v>
      </c>
      <c r="O422" s="38">
        <v>744.27</v>
      </c>
      <c r="P422" s="39" t="s">
        <v>540</v>
      </c>
      <c r="Q422" s="39" t="s">
        <v>540</v>
      </c>
      <c r="R422" s="40"/>
      <c r="S422" s="38">
        <v>123.2</v>
      </c>
      <c r="T422" s="39" t="s">
        <v>540</v>
      </c>
      <c r="U422" s="39" t="s">
        <v>540</v>
      </c>
      <c r="V422" s="38" t="s">
        <v>539</v>
      </c>
      <c r="W422" s="38" t="s">
        <v>540</v>
      </c>
      <c r="X422" s="38">
        <v>131.97999999999999</v>
      </c>
      <c r="Y422" s="39" t="s">
        <v>540</v>
      </c>
      <c r="Z422" s="39" t="s">
        <v>540</v>
      </c>
      <c r="AA422" s="41" t="s">
        <v>540</v>
      </c>
      <c r="AB422" s="42" t="s">
        <v>540</v>
      </c>
      <c r="AC422" s="40"/>
      <c r="AD422" s="43">
        <v>62.6</v>
      </c>
      <c r="AE422" s="39" t="s">
        <v>539</v>
      </c>
      <c r="AF422" s="39">
        <v>47.537119962290845</v>
      </c>
      <c r="AG422" s="43" t="s">
        <v>539</v>
      </c>
      <c r="AH422" s="43">
        <v>0</v>
      </c>
      <c r="AI422" s="43">
        <v>42.43</v>
      </c>
      <c r="AJ422" s="39" t="s">
        <v>539</v>
      </c>
      <c r="AK422" s="39" t="s">
        <v>539</v>
      </c>
      <c r="AL422" s="44"/>
      <c r="AM422" s="43">
        <v>62.6</v>
      </c>
      <c r="AN422" s="39" t="s">
        <v>539</v>
      </c>
      <c r="AO422" s="39">
        <v>47.676338759141302</v>
      </c>
      <c r="AP422" s="43" t="s">
        <v>539</v>
      </c>
      <c r="AQ422" s="43">
        <v>0</v>
      </c>
      <c r="AR422" s="43">
        <v>42.39</v>
      </c>
      <c r="AS422" s="39" t="s">
        <v>539</v>
      </c>
      <c r="AT422" s="39" t="s">
        <v>539</v>
      </c>
      <c r="AU422" s="1">
        <v>21088.095663605</v>
      </c>
    </row>
    <row r="423" spans="2:47" ht="18" customHeight="1" x14ac:dyDescent="0.25">
      <c r="B423" s="2">
        <f>IF(G423=$B$6,MAX(B$7:B422)+1,IF($B$6="Nifty 500 - All Sector",B422+1,0))</f>
        <v>23</v>
      </c>
      <c r="C423" s="36">
        <v>24882</v>
      </c>
      <c r="D423" s="36" t="s">
        <v>442</v>
      </c>
      <c r="E423" s="36" t="s">
        <v>527</v>
      </c>
      <c r="F423" s="36" t="s">
        <v>975</v>
      </c>
      <c r="G423" s="36" t="s">
        <v>531</v>
      </c>
      <c r="H423" s="36" t="s">
        <v>529</v>
      </c>
      <c r="I423" s="37" t="s">
        <v>540</v>
      </c>
      <c r="J423" s="38">
        <v>2603.8000000000002</v>
      </c>
      <c r="K423" s="39">
        <v>20.46498243315391</v>
      </c>
      <c r="L423" s="39">
        <v>6.5787120094863871</v>
      </c>
      <c r="M423" s="38" t="s">
        <v>539</v>
      </c>
      <c r="N423" s="38">
        <v>2161.4580000000001</v>
      </c>
      <c r="O423" s="38">
        <v>2443.0770000000002</v>
      </c>
      <c r="P423" s="39" t="s">
        <v>540</v>
      </c>
      <c r="Q423" s="39" t="s">
        <v>540</v>
      </c>
      <c r="R423" s="40"/>
      <c r="S423" s="38">
        <v>424.26666666666659</v>
      </c>
      <c r="T423" s="39">
        <v>16.29413421409734</v>
      </c>
      <c r="U423" s="39">
        <v>89.633328527984801</v>
      </c>
      <c r="V423" s="38" t="s">
        <v>539</v>
      </c>
      <c r="W423" s="38">
        <v>332.81700000000001</v>
      </c>
      <c r="X423" s="38">
        <v>402.65100000000001</v>
      </c>
      <c r="Y423" s="39" t="s">
        <v>540</v>
      </c>
      <c r="Z423" s="39" t="s">
        <v>540</v>
      </c>
      <c r="AA423" s="41" t="s">
        <v>540</v>
      </c>
      <c r="AB423" s="42" t="s">
        <v>540</v>
      </c>
      <c r="AC423" s="40"/>
      <c r="AD423" s="43">
        <v>220.62860000000001</v>
      </c>
      <c r="AE423" s="39">
        <v>37.30418331404104</v>
      </c>
      <c r="AF423" s="39">
        <v>83.354469828553391</v>
      </c>
      <c r="AG423" s="43" t="s">
        <v>539</v>
      </c>
      <c r="AH423" s="43">
        <v>160.68600000000001</v>
      </c>
      <c r="AI423" s="43">
        <v>120.32899999999999</v>
      </c>
      <c r="AJ423" s="39" t="s">
        <v>539</v>
      </c>
      <c r="AK423" s="39" t="s">
        <v>539</v>
      </c>
      <c r="AL423" s="44"/>
      <c r="AM423" s="43">
        <v>220.62860000000001</v>
      </c>
      <c r="AN423" s="39">
        <v>37.305037806889253</v>
      </c>
      <c r="AO423" s="39">
        <v>83.346851263981918</v>
      </c>
      <c r="AP423" s="43" t="s">
        <v>539</v>
      </c>
      <c r="AQ423" s="43">
        <v>160.685</v>
      </c>
      <c r="AR423" s="43">
        <v>120.334</v>
      </c>
      <c r="AS423" s="39" t="s">
        <v>539</v>
      </c>
      <c r="AT423" s="39" t="s">
        <v>539</v>
      </c>
      <c r="AU423" s="1">
        <v>15608.303520224999</v>
      </c>
    </row>
    <row r="424" spans="2:47" ht="18" customHeight="1" x14ac:dyDescent="0.25">
      <c r="B424" s="2">
        <f>IF(G424=$B$6,MAX(B$7:B423)+1,IF($B$6="Nifty 500 - All Sector",B423+1,0))</f>
        <v>24</v>
      </c>
      <c r="C424" s="36">
        <v>28293</v>
      </c>
      <c r="D424" s="36" t="s">
        <v>443</v>
      </c>
      <c r="E424" s="36" t="s">
        <v>527</v>
      </c>
      <c r="F424" s="36" t="s">
        <v>976</v>
      </c>
      <c r="G424" s="36" t="s">
        <v>531</v>
      </c>
      <c r="H424" s="36" t="s">
        <v>529</v>
      </c>
      <c r="I424" s="37" t="s">
        <v>540</v>
      </c>
      <c r="J424" s="38">
        <v>1138.8666666666666</v>
      </c>
      <c r="K424" s="39">
        <v>26.782190378862268</v>
      </c>
      <c r="L424" s="39">
        <v>6.4031222710959179</v>
      </c>
      <c r="M424" s="38" t="s">
        <v>539</v>
      </c>
      <c r="N424" s="38">
        <v>898.28599999999994</v>
      </c>
      <c r="O424" s="38">
        <v>1070.3320000000001</v>
      </c>
      <c r="P424" s="39" t="s">
        <v>540</v>
      </c>
      <c r="Q424" s="39" t="s">
        <v>540</v>
      </c>
      <c r="R424" s="40"/>
      <c r="S424" s="38">
        <v>291.41999999999996</v>
      </c>
      <c r="T424" s="39">
        <v>25.588596850670253</v>
      </c>
      <c r="U424" s="39">
        <v>125.5032707401849</v>
      </c>
      <c r="V424" s="38" t="s">
        <v>539</v>
      </c>
      <c r="W424" s="38">
        <v>218.58500000000001</v>
      </c>
      <c r="X424" s="38">
        <v>276.26299999999998</v>
      </c>
      <c r="Y424" s="39" t="s">
        <v>540</v>
      </c>
      <c r="Z424" s="39" t="s">
        <v>540</v>
      </c>
      <c r="AA424" s="41" t="s">
        <v>540</v>
      </c>
      <c r="AB424" s="42" t="s">
        <v>540</v>
      </c>
      <c r="AC424" s="40"/>
      <c r="AD424" s="43">
        <v>187.34</v>
      </c>
      <c r="AE424" s="39">
        <v>22.832208868519576</v>
      </c>
      <c r="AF424" s="39">
        <v>-2.3294127460794067</v>
      </c>
      <c r="AG424" s="43" t="s">
        <v>539</v>
      </c>
      <c r="AH424" s="43">
        <v>152.517</v>
      </c>
      <c r="AI424" s="43">
        <v>191.80799999999999</v>
      </c>
      <c r="AJ424" s="39" t="s">
        <v>539</v>
      </c>
      <c r="AK424" s="39" t="s">
        <v>539</v>
      </c>
      <c r="AL424" s="44"/>
      <c r="AM424" s="43">
        <v>187.34</v>
      </c>
      <c r="AN424" s="39">
        <v>23.117972174575939</v>
      </c>
      <c r="AO424" s="39">
        <v>-2.4148851939825744</v>
      </c>
      <c r="AP424" s="43" t="s">
        <v>539</v>
      </c>
      <c r="AQ424" s="43">
        <v>152.16300000000001</v>
      </c>
      <c r="AR424" s="43">
        <v>191.976</v>
      </c>
      <c r="AS424" s="39" t="s">
        <v>539</v>
      </c>
      <c r="AT424" s="39" t="s">
        <v>539</v>
      </c>
      <c r="AU424" s="1">
        <v>14014.02723559</v>
      </c>
    </row>
    <row r="425" spans="2:47" ht="18" customHeight="1" x14ac:dyDescent="0.25">
      <c r="B425" s="2">
        <f>IF(G425=$B$6,MAX(B$7:B424)+1,IF($B$6="Nifty 500 - All Sector",B424+1,0))</f>
        <v>25</v>
      </c>
      <c r="C425" s="36">
        <v>262</v>
      </c>
      <c r="D425" s="36" t="s">
        <v>444</v>
      </c>
      <c r="E425" s="36" t="s">
        <v>527</v>
      </c>
      <c r="F425" s="36" t="s">
        <v>977</v>
      </c>
      <c r="G425" s="36" t="s">
        <v>531</v>
      </c>
      <c r="H425" s="36" t="s">
        <v>529</v>
      </c>
      <c r="I425" s="37" t="s">
        <v>540</v>
      </c>
      <c r="J425" s="38">
        <v>1486.4749999999999</v>
      </c>
      <c r="K425" s="39">
        <v>9.3881080285524998</v>
      </c>
      <c r="L425" s="39">
        <v>3.89844132242958</v>
      </c>
      <c r="M425" s="38" t="s">
        <v>539</v>
      </c>
      <c r="N425" s="38">
        <v>1358.9</v>
      </c>
      <c r="O425" s="38">
        <v>1430.7</v>
      </c>
      <c r="P425" s="39" t="s">
        <v>540</v>
      </c>
      <c r="Q425" s="39" t="s">
        <v>540</v>
      </c>
      <c r="R425" s="40"/>
      <c r="S425" s="38">
        <v>233.5</v>
      </c>
      <c r="T425" s="39">
        <v>15.708303200524732</v>
      </c>
      <c r="U425" s="39">
        <v>7.0655102798630409</v>
      </c>
      <c r="V425" s="38" t="s">
        <v>539</v>
      </c>
      <c r="W425" s="38">
        <v>212.5</v>
      </c>
      <c r="X425" s="38">
        <v>249.9</v>
      </c>
      <c r="Y425" s="39" t="s">
        <v>540</v>
      </c>
      <c r="Z425" s="39" t="s">
        <v>540</v>
      </c>
      <c r="AA425" s="41" t="s">
        <v>540</v>
      </c>
      <c r="AB425" s="42" t="s">
        <v>540</v>
      </c>
      <c r="AC425" s="40"/>
      <c r="AD425" s="43">
        <v>191.02</v>
      </c>
      <c r="AE425" s="39">
        <v>8.2879818594104435</v>
      </c>
      <c r="AF425" s="39">
        <v>-4.3943943943943964</v>
      </c>
      <c r="AG425" s="43" t="s">
        <v>539</v>
      </c>
      <c r="AH425" s="43">
        <v>176.4</v>
      </c>
      <c r="AI425" s="43">
        <v>199.8</v>
      </c>
      <c r="AJ425" s="39" t="s">
        <v>539</v>
      </c>
      <c r="AK425" s="39" t="s">
        <v>539</v>
      </c>
      <c r="AL425" s="44"/>
      <c r="AM425" s="43">
        <v>191.02</v>
      </c>
      <c r="AN425" s="39">
        <v>8.2879818594104435</v>
      </c>
      <c r="AO425" s="39">
        <v>-4.3943943943943964</v>
      </c>
      <c r="AP425" s="43" t="s">
        <v>539</v>
      </c>
      <c r="AQ425" s="43">
        <v>176.4</v>
      </c>
      <c r="AR425" s="43">
        <v>199.8</v>
      </c>
      <c r="AS425" s="39" t="s">
        <v>539</v>
      </c>
      <c r="AT425" s="39" t="s">
        <v>539</v>
      </c>
      <c r="AU425" s="1">
        <v>12809.075232470001</v>
      </c>
    </row>
    <row r="426" spans="2:47" ht="18" customHeight="1" x14ac:dyDescent="0.25">
      <c r="B426" s="2">
        <f>IF(G426=$B$6,MAX(B$7:B425)+1,IF($B$6="Nifty 500 - All Sector",B425+1,0))</f>
        <v>26</v>
      </c>
      <c r="C426" s="36">
        <v>22535</v>
      </c>
      <c r="D426" s="36" t="s">
        <v>445</v>
      </c>
      <c r="E426" s="36" t="s">
        <v>527</v>
      </c>
      <c r="F426" s="36" t="s">
        <v>978</v>
      </c>
      <c r="G426" s="36" t="s">
        <v>531</v>
      </c>
      <c r="H426" s="36" t="s">
        <v>529</v>
      </c>
      <c r="I426" s="37" t="s">
        <v>540</v>
      </c>
      <c r="J426" s="38" t="s">
        <v>539</v>
      </c>
      <c r="K426" s="39" t="s">
        <v>540</v>
      </c>
      <c r="L426" s="39" t="s">
        <v>540</v>
      </c>
      <c r="M426" s="38" t="s">
        <v>539</v>
      </c>
      <c r="N426" s="38">
        <v>692.76900000000001</v>
      </c>
      <c r="O426" s="38">
        <v>736.45699999999999</v>
      </c>
      <c r="P426" s="39" t="s">
        <v>540</v>
      </c>
      <c r="Q426" s="39" t="s">
        <v>540</v>
      </c>
      <c r="R426" s="40"/>
      <c r="S426" s="38" t="s">
        <v>539</v>
      </c>
      <c r="T426" s="39" t="s">
        <v>540</v>
      </c>
      <c r="U426" s="39" t="s">
        <v>540</v>
      </c>
      <c r="V426" s="38" t="s">
        <v>539</v>
      </c>
      <c r="W426" s="38">
        <v>174.09</v>
      </c>
      <c r="X426" s="38">
        <v>197.97200000000001</v>
      </c>
      <c r="Y426" s="39" t="s">
        <v>540</v>
      </c>
      <c r="Z426" s="39" t="s">
        <v>540</v>
      </c>
      <c r="AA426" s="41" t="s">
        <v>540</v>
      </c>
      <c r="AB426" s="42" t="s">
        <v>540</v>
      </c>
      <c r="AC426" s="40"/>
      <c r="AD426" s="43" t="s">
        <v>540</v>
      </c>
      <c r="AE426" s="39" t="s">
        <v>539</v>
      </c>
      <c r="AF426" s="39" t="s">
        <v>539</v>
      </c>
      <c r="AG426" s="43" t="s">
        <v>539</v>
      </c>
      <c r="AH426" s="43">
        <v>145.221</v>
      </c>
      <c r="AI426" s="43">
        <v>170.22399999999999</v>
      </c>
      <c r="AJ426" s="39" t="s">
        <v>539</v>
      </c>
      <c r="AK426" s="39" t="s">
        <v>539</v>
      </c>
      <c r="AL426" s="44"/>
      <c r="AM426" s="43" t="s">
        <v>539</v>
      </c>
      <c r="AN426" s="39" t="s">
        <v>539</v>
      </c>
      <c r="AO426" s="39" t="s">
        <v>539</v>
      </c>
      <c r="AP426" s="43" t="s">
        <v>539</v>
      </c>
      <c r="AQ426" s="43">
        <v>135.14099999999999</v>
      </c>
      <c r="AR426" s="43">
        <v>162.67500000000001</v>
      </c>
      <c r="AS426" s="39" t="s">
        <v>539</v>
      </c>
      <c r="AT426" s="39" t="s">
        <v>539</v>
      </c>
      <c r="AU426" s="1">
        <v>12090.77176342</v>
      </c>
    </row>
    <row r="427" spans="2:47" ht="18" customHeight="1" x14ac:dyDescent="0.25">
      <c r="B427" s="2">
        <f>IF(G427=$B$6,MAX(B$7:B426)+1,IF($B$6="Nifty 500 - All Sector",B426+1,0))</f>
        <v>27</v>
      </c>
      <c r="C427" s="36">
        <v>16541</v>
      </c>
      <c r="D427" s="36" t="s">
        <v>446</v>
      </c>
      <c r="E427" s="36" t="s">
        <v>527</v>
      </c>
      <c r="F427" s="36" t="s">
        <v>979</v>
      </c>
      <c r="G427" s="36" t="s">
        <v>531</v>
      </c>
      <c r="H427" s="36" t="s">
        <v>529</v>
      </c>
      <c r="I427" s="37" t="s">
        <v>540</v>
      </c>
      <c r="J427" s="38">
        <v>1363.9444444444446</v>
      </c>
      <c r="K427" s="39">
        <v>3.5733064956507077</v>
      </c>
      <c r="L427" s="39">
        <v>1.2179632427611775</v>
      </c>
      <c r="M427" s="38" t="s">
        <v>539</v>
      </c>
      <c r="N427" s="38">
        <v>1316.8879999999999</v>
      </c>
      <c r="O427" s="38">
        <v>1347.5319999999999</v>
      </c>
      <c r="P427" s="39" t="s">
        <v>540</v>
      </c>
      <c r="Q427" s="39" t="s">
        <v>540</v>
      </c>
      <c r="R427" s="40"/>
      <c r="S427" s="38">
        <v>211.45</v>
      </c>
      <c r="T427" s="39">
        <v>15.502830841920897</v>
      </c>
      <c r="U427" s="39">
        <v>232.21351411475587</v>
      </c>
      <c r="V427" s="38" t="s">
        <v>539</v>
      </c>
      <c r="W427" s="38">
        <v>173.57499999999999</v>
      </c>
      <c r="X427" s="38">
        <v>244.79900000000001</v>
      </c>
      <c r="Y427" s="39" t="s">
        <v>540</v>
      </c>
      <c r="Z427" s="39" t="s">
        <v>540</v>
      </c>
      <c r="AA427" s="41" t="s">
        <v>540</v>
      </c>
      <c r="AB427" s="42" t="s">
        <v>540</v>
      </c>
      <c r="AC427" s="40"/>
      <c r="AD427" s="43">
        <v>135.35560000000001</v>
      </c>
      <c r="AE427" s="39">
        <v>10.851807870275575</v>
      </c>
      <c r="AF427" s="39">
        <v>12.900766542385057</v>
      </c>
      <c r="AG427" s="43" t="s">
        <v>539</v>
      </c>
      <c r="AH427" s="43">
        <v>122.105</v>
      </c>
      <c r="AI427" s="43">
        <v>119.889</v>
      </c>
      <c r="AJ427" s="39" t="s">
        <v>539</v>
      </c>
      <c r="AK427" s="39" t="s">
        <v>539</v>
      </c>
      <c r="AL427" s="44"/>
      <c r="AM427" s="43">
        <v>135.35560000000001</v>
      </c>
      <c r="AN427" s="39">
        <v>10.851807870275575</v>
      </c>
      <c r="AO427" s="39">
        <v>12.900766542385057</v>
      </c>
      <c r="AP427" s="43" t="s">
        <v>539</v>
      </c>
      <c r="AQ427" s="43">
        <v>122.105</v>
      </c>
      <c r="AR427" s="43">
        <v>119.889</v>
      </c>
      <c r="AS427" s="39" t="s">
        <v>539</v>
      </c>
      <c r="AT427" s="39" t="s">
        <v>539</v>
      </c>
      <c r="AU427" s="1">
        <v>10622.63647544</v>
      </c>
    </row>
    <row r="428" spans="2:47" ht="18" customHeight="1" x14ac:dyDescent="0.25">
      <c r="B428" s="2">
        <f>IF(G428=$B$6,MAX(B$7:B427)+1,IF($B$6="Nifty 500 - All Sector",B427+1,0))</f>
        <v>28</v>
      </c>
      <c r="C428" s="36">
        <v>54769</v>
      </c>
      <c r="D428" s="36" t="s">
        <v>447</v>
      </c>
      <c r="E428" s="36" t="s">
        <v>527</v>
      </c>
      <c r="F428" s="36" t="s">
        <v>980</v>
      </c>
      <c r="G428" s="36" t="s">
        <v>531</v>
      </c>
      <c r="H428" s="36" t="s">
        <v>529</v>
      </c>
      <c r="I428" s="37" t="s">
        <v>540</v>
      </c>
      <c r="J428" s="38">
        <v>812.8</v>
      </c>
      <c r="K428" s="39">
        <v>11.970420412560312</v>
      </c>
      <c r="L428" s="39">
        <v>11.131772092361869</v>
      </c>
      <c r="M428" s="38" t="s">
        <v>539</v>
      </c>
      <c r="N428" s="38">
        <v>725.90599999999995</v>
      </c>
      <c r="O428" s="38">
        <v>731.38400000000001</v>
      </c>
      <c r="P428" s="39" t="s">
        <v>540</v>
      </c>
      <c r="Q428" s="39" t="s">
        <v>540</v>
      </c>
      <c r="R428" s="40"/>
      <c r="S428" s="38">
        <v>196.6</v>
      </c>
      <c r="T428" s="39">
        <v>24.187992125984252</v>
      </c>
      <c r="U428" s="39">
        <v>-394.54025559718173</v>
      </c>
      <c r="V428" s="38" t="s">
        <v>539</v>
      </c>
      <c r="W428" s="38">
        <v>204.22200000000001</v>
      </c>
      <c r="X428" s="38">
        <v>100.25700000000001</v>
      </c>
      <c r="Y428" s="39" t="s">
        <v>540</v>
      </c>
      <c r="Z428" s="39" t="s">
        <v>540</v>
      </c>
      <c r="AA428" s="41" t="s">
        <v>540</v>
      </c>
      <c r="AB428" s="42" t="s">
        <v>540</v>
      </c>
      <c r="AC428" s="40"/>
      <c r="AD428" s="43">
        <v>125.7</v>
      </c>
      <c r="AE428" s="39">
        <v>-9.368172871017288</v>
      </c>
      <c r="AF428" s="39">
        <v>369.01235028543891</v>
      </c>
      <c r="AG428" s="43" t="s">
        <v>539</v>
      </c>
      <c r="AH428" s="43">
        <v>138.69300000000001</v>
      </c>
      <c r="AI428" s="43">
        <v>26.800999999999899</v>
      </c>
      <c r="AJ428" s="39" t="s">
        <v>539</v>
      </c>
      <c r="AK428" s="39" t="s">
        <v>539</v>
      </c>
      <c r="AL428" s="44"/>
      <c r="AM428" s="43">
        <v>125.7</v>
      </c>
      <c r="AN428" s="39">
        <v>-7.1083883268424852</v>
      </c>
      <c r="AO428" s="39">
        <v>341.8588301462317</v>
      </c>
      <c r="AP428" s="43" t="s">
        <v>539</v>
      </c>
      <c r="AQ428" s="43">
        <v>135.31899999999999</v>
      </c>
      <c r="AR428" s="43">
        <v>28.448</v>
      </c>
      <c r="AS428" s="39" t="s">
        <v>539</v>
      </c>
      <c r="AT428" s="39" t="s">
        <v>539</v>
      </c>
      <c r="AU428" s="1">
        <v>9632.1342641600004</v>
      </c>
    </row>
    <row r="429" spans="2:47" ht="18" customHeight="1" x14ac:dyDescent="0.25">
      <c r="B429" s="2">
        <f>IF(G429=$B$6,MAX(B$7:B428)+1,IF($B$6="Nifty 500 - All Sector",B428+1,0))</f>
        <v>29</v>
      </c>
      <c r="C429" s="36">
        <v>12490</v>
      </c>
      <c r="D429" s="36" t="s">
        <v>448</v>
      </c>
      <c r="E429" s="36" t="s">
        <v>527</v>
      </c>
      <c r="F429" s="36" t="s">
        <v>981</v>
      </c>
      <c r="G429" s="36" t="s">
        <v>531</v>
      </c>
      <c r="H429" s="36" t="s">
        <v>529</v>
      </c>
      <c r="I429" s="37" t="s">
        <v>540</v>
      </c>
      <c r="J429" s="38">
        <v>2581.0500000000002</v>
      </c>
      <c r="K429" s="39">
        <v>-1.3812471343420341</v>
      </c>
      <c r="L429" s="39">
        <v>-16.215452934187713</v>
      </c>
      <c r="M429" s="38" t="s">
        <v>539</v>
      </c>
      <c r="N429" s="38">
        <v>2617.1999999999998</v>
      </c>
      <c r="O429" s="38">
        <v>3080.58</v>
      </c>
      <c r="P429" s="39" t="s">
        <v>540</v>
      </c>
      <c r="Q429" s="39" t="s">
        <v>540</v>
      </c>
      <c r="R429" s="40"/>
      <c r="S429" s="38">
        <v>180.55</v>
      </c>
      <c r="T429" s="39">
        <v>6.9952151256271673</v>
      </c>
      <c r="U429" s="39">
        <v>39.808842533678046</v>
      </c>
      <c r="V429" s="38" t="s">
        <v>539</v>
      </c>
      <c r="W429" s="38">
        <v>172.66</v>
      </c>
      <c r="X429" s="38">
        <v>200.2</v>
      </c>
      <c r="Y429" s="39" t="s">
        <v>540</v>
      </c>
      <c r="Z429" s="39" t="s">
        <v>540</v>
      </c>
      <c r="AA429" s="41" t="s">
        <v>540</v>
      </c>
      <c r="AB429" s="42" t="s">
        <v>540</v>
      </c>
      <c r="AC429" s="40"/>
      <c r="AD429" s="43">
        <v>118.1</v>
      </c>
      <c r="AE429" s="39">
        <v>9.8298149353668762</v>
      </c>
      <c r="AF429" s="39">
        <v>13.165963970870065</v>
      </c>
      <c r="AG429" s="43" t="s">
        <v>539</v>
      </c>
      <c r="AH429" s="43">
        <v>107.53</v>
      </c>
      <c r="AI429" s="43">
        <v>104.36</v>
      </c>
      <c r="AJ429" s="39" t="s">
        <v>539</v>
      </c>
      <c r="AK429" s="39" t="s">
        <v>539</v>
      </c>
      <c r="AL429" s="44"/>
      <c r="AM429" s="43">
        <v>118.1</v>
      </c>
      <c r="AN429" s="39">
        <v>9.8298149353668762</v>
      </c>
      <c r="AO429" s="39">
        <v>13.165963970870065</v>
      </c>
      <c r="AP429" s="43" t="s">
        <v>539</v>
      </c>
      <c r="AQ429" s="43">
        <v>107.53</v>
      </c>
      <c r="AR429" s="43">
        <v>104.36</v>
      </c>
      <c r="AS429" s="39" t="s">
        <v>539</v>
      </c>
      <c r="AT429" s="39" t="s">
        <v>539</v>
      </c>
      <c r="AU429" s="1">
        <v>7115.7797060000003</v>
      </c>
    </row>
    <row r="430" spans="2:47" ht="18" customHeight="1" x14ac:dyDescent="0.25">
      <c r="B430" s="2">
        <f>IF(G430=$B$6,MAX(B$7:B429)+1,IF($B$6="Nifty 500 - All Sector",B429+1,0))</f>
        <v>30</v>
      </c>
      <c r="C430" s="36">
        <v>13722</v>
      </c>
      <c r="D430" s="36" t="s">
        <v>449</v>
      </c>
      <c r="E430" s="36" t="s">
        <v>527</v>
      </c>
      <c r="F430" s="36" t="s">
        <v>982</v>
      </c>
      <c r="G430" s="36" t="s">
        <v>531</v>
      </c>
      <c r="H430" s="36" t="s">
        <v>529</v>
      </c>
      <c r="I430" s="37" t="s">
        <v>540</v>
      </c>
      <c r="J430" s="38">
        <v>443.86666666666667</v>
      </c>
      <c r="K430" s="39">
        <v>3.2512193041630777</v>
      </c>
      <c r="L430" s="39">
        <v>10.889598395781587</v>
      </c>
      <c r="M430" s="38" t="s">
        <v>539</v>
      </c>
      <c r="N430" s="38">
        <v>429.89</v>
      </c>
      <c r="O430" s="38">
        <v>400.27800000000002</v>
      </c>
      <c r="P430" s="39" t="s">
        <v>540</v>
      </c>
      <c r="Q430" s="39" t="s">
        <v>540</v>
      </c>
      <c r="R430" s="40"/>
      <c r="S430" s="38">
        <v>141.9</v>
      </c>
      <c r="T430" s="39">
        <v>31.969059777711024</v>
      </c>
      <c r="U430" s="39">
        <v>5.1359900998370733</v>
      </c>
      <c r="V430" s="38" t="s">
        <v>539</v>
      </c>
      <c r="W430" s="38">
        <v>137.21100000000001</v>
      </c>
      <c r="X430" s="38">
        <v>106.246</v>
      </c>
      <c r="Y430" s="39" t="s">
        <v>540</v>
      </c>
      <c r="Z430" s="39" t="s">
        <v>540</v>
      </c>
      <c r="AA430" s="41" t="s">
        <v>540</v>
      </c>
      <c r="AB430" s="42" t="s">
        <v>540</v>
      </c>
      <c r="AC430" s="40"/>
      <c r="AD430" s="43">
        <v>110.73330000000001</v>
      </c>
      <c r="AE430" s="39">
        <v>2.2100074765320166</v>
      </c>
      <c r="AF430" s="39">
        <v>76.284804584891887</v>
      </c>
      <c r="AG430" s="43" t="s">
        <v>539</v>
      </c>
      <c r="AH430" s="43">
        <v>108.339</v>
      </c>
      <c r="AI430" s="43">
        <v>62.815000000000097</v>
      </c>
      <c r="AJ430" s="39" t="s">
        <v>539</v>
      </c>
      <c r="AK430" s="39" t="s">
        <v>539</v>
      </c>
      <c r="AL430" s="44"/>
      <c r="AM430" s="43">
        <v>110.73330000000001</v>
      </c>
      <c r="AN430" s="39">
        <v>2.2100074765320166</v>
      </c>
      <c r="AO430" s="39">
        <v>76.284804584892171</v>
      </c>
      <c r="AP430" s="43" t="s">
        <v>539</v>
      </c>
      <c r="AQ430" s="43">
        <v>108.339</v>
      </c>
      <c r="AR430" s="43">
        <v>62.814999999999998</v>
      </c>
      <c r="AS430" s="39" t="s">
        <v>539</v>
      </c>
      <c r="AT430" s="39" t="s">
        <v>539</v>
      </c>
      <c r="AU430" s="1">
        <v>6733.0545029699997</v>
      </c>
    </row>
    <row r="431" spans="2:47" ht="18" customHeight="1" x14ac:dyDescent="0.25">
      <c r="B431" s="2">
        <f>IF(G431=$B$6,MAX(B$7:B430)+1,IF($B$6="Nifty 500 - All Sector",B430+1,0))</f>
        <v>31</v>
      </c>
      <c r="C431" s="36">
        <v>75882</v>
      </c>
      <c r="D431" s="36" t="s">
        <v>450</v>
      </c>
      <c r="E431" s="36" t="s">
        <v>527</v>
      </c>
      <c r="F431" s="36" t="s">
        <v>983</v>
      </c>
      <c r="G431" s="36" t="s">
        <v>531</v>
      </c>
      <c r="H431" s="36" t="s">
        <v>529</v>
      </c>
      <c r="I431" s="37" t="s">
        <v>540</v>
      </c>
      <c r="J431" s="38">
        <v>174.35999999999999</v>
      </c>
      <c r="K431" s="39">
        <v>21.462904911180747</v>
      </c>
      <c r="L431" s="39">
        <v>86.122971818958121</v>
      </c>
      <c r="M431" s="38" t="s">
        <v>539</v>
      </c>
      <c r="N431" s="38">
        <v>143.55000000000001</v>
      </c>
      <c r="O431" s="38">
        <v>93.68</v>
      </c>
      <c r="P431" s="39" t="s">
        <v>540</v>
      </c>
      <c r="Q431" s="39" t="s">
        <v>540</v>
      </c>
      <c r="R431" s="40"/>
      <c r="S431" s="38">
        <v>61.52</v>
      </c>
      <c r="T431" s="39">
        <v>35.283321862812578</v>
      </c>
      <c r="U431" s="39">
        <v>-514.85833966788869</v>
      </c>
      <c r="V431" s="38" t="s">
        <v>539</v>
      </c>
      <c r="W431" s="38">
        <v>58.04</v>
      </c>
      <c r="X431" s="38">
        <v>26.76</v>
      </c>
      <c r="Y431" s="39" t="s">
        <v>540</v>
      </c>
      <c r="Z431" s="39" t="s">
        <v>540</v>
      </c>
      <c r="AA431" s="41" t="s">
        <v>540</v>
      </c>
      <c r="AB431" s="42" t="s">
        <v>540</v>
      </c>
      <c r="AC431" s="40"/>
      <c r="AD431" s="43">
        <v>58.325000000000003</v>
      </c>
      <c r="AE431" s="39">
        <v>12.163461538461551</v>
      </c>
      <c r="AF431" s="39">
        <v>178.40095465393796</v>
      </c>
      <c r="AG431" s="43" t="s">
        <v>539</v>
      </c>
      <c r="AH431" s="43">
        <v>52</v>
      </c>
      <c r="AI431" s="43">
        <v>20.95</v>
      </c>
      <c r="AJ431" s="39" t="s">
        <v>539</v>
      </c>
      <c r="AK431" s="39" t="s">
        <v>539</v>
      </c>
      <c r="AL431" s="44"/>
      <c r="AM431" s="43">
        <v>58.325000000000003</v>
      </c>
      <c r="AN431" s="39">
        <v>20.084414247477866</v>
      </c>
      <c r="AO431" s="39">
        <v>210.73521576984552</v>
      </c>
      <c r="AP431" s="43" t="s">
        <v>539</v>
      </c>
      <c r="AQ431" s="43">
        <v>48.57</v>
      </c>
      <c r="AR431" s="43">
        <v>18.77</v>
      </c>
      <c r="AS431" s="39" t="s">
        <v>539</v>
      </c>
      <c r="AT431" s="39" t="s">
        <v>539</v>
      </c>
      <c r="AU431" s="1">
        <v>5120.98015184</v>
      </c>
    </row>
    <row r="432" spans="2:47" ht="18" customHeight="1" x14ac:dyDescent="0.25">
      <c r="B432" s="2">
        <f>IF(G432=$B$6,MAX(B$7:B431)+1,IF($B$6="Nifty 500 - All Sector",B431+1,0))</f>
        <v>0</v>
      </c>
      <c r="C432" s="36">
        <v>33159</v>
      </c>
      <c r="D432" s="36" t="s">
        <v>451</v>
      </c>
      <c r="E432" s="36" t="s">
        <v>527</v>
      </c>
      <c r="F432" s="36" t="s">
        <v>984</v>
      </c>
      <c r="G432" s="36" t="s">
        <v>631</v>
      </c>
      <c r="H432" s="36" t="s">
        <v>532</v>
      </c>
      <c r="I432" s="37" t="s">
        <v>540</v>
      </c>
      <c r="J432" s="38">
        <v>23043.16</v>
      </c>
      <c r="K432" s="39">
        <v>4.0234020558055805</v>
      </c>
      <c r="L432" s="39">
        <v>-1.8266096907365914</v>
      </c>
      <c r="M432" s="38" t="s">
        <v>539</v>
      </c>
      <c r="N432" s="38">
        <v>22151.9</v>
      </c>
      <c r="O432" s="38">
        <v>23471.9</v>
      </c>
      <c r="P432" s="39" t="s">
        <v>540</v>
      </c>
      <c r="Q432" s="39" t="s">
        <v>540</v>
      </c>
      <c r="R432" s="40"/>
      <c r="S432" s="38">
        <v>3756.5181818181818</v>
      </c>
      <c r="T432" s="39">
        <v>16.302096508543887</v>
      </c>
      <c r="U432" s="39">
        <v>-1118.7193349210975</v>
      </c>
      <c r="V432" s="38" t="s">
        <v>539</v>
      </c>
      <c r="W432" s="38">
        <v>6089.4</v>
      </c>
      <c r="X432" s="38">
        <v>5367.4</v>
      </c>
      <c r="Y432" s="39" t="s">
        <v>540</v>
      </c>
      <c r="Z432" s="39" t="s">
        <v>540</v>
      </c>
      <c r="AA432" s="41" t="s">
        <v>540</v>
      </c>
      <c r="AB432" s="42" t="s">
        <v>540</v>
      </c>
      <c r="AC432" s="40"/>
      <c r="AD432" s="43">
        <v>783</v>
      </c>
      <c r="AE432" s="39">
        <v>-74.474327628361863</v>
      </c>
      <c r="AF432" s="39">
        <v>42.596976871243839</v>
      </c>
      <c r="AG432" s="43" t="s">
        <v>539</v>
      </c>
      <c r="AH432" s="43">
        <v>3067.5</v>
      </c>
      <c r="AI432" s="43">
        <v>549.1</v>
      </c>
      <c r="AJ432" s="39" t="s">
        <v>539</v>
      </c>
      <c r="AK432" s="39" t="s">
        <v>539</v>
      </c>
      <c r="AL432" s="44"/>
      <c r="AM432" s="43">
        <v>783</v>
      </c>
      <c r="AN432" s="39">
        <v>-74.474327628361863</v>
      </c>
      <c r="AO432" s="39">
        <v>42.415423790469276</v>
      </c>
      <c r="AP432" s="43" t="s">
        <v>539</v>
      </c>
      <c r="AQ432" s="43">
        <v>3067.5</v>
      </c>
      <c r="AR432" s="43">
        <v>549.79999999999995</v>
      </c>
      <c r="AS432" s="39" t="s">
        <v>539</v>
      </c>
      <c r="AT432" s="39" t="s">
        <v>539</v>
      </c>
      <c r="AU432" s="1">
        <v>179193.78899311001</v>
      </c>
    </row>
    <row r="433" spans="2:47" ht="18" customHeight="1" x14ac:dyDescent="0.25">
      <c r="B433" s="2">
        <f>IF(G433=$B$6,MAX(B$7:B432)+1,IF($B$6="Nifty 500 - All Sector",B432+1,0))</f>
        <v>0</v>
      </c>
      <c r="C433" s="36">
        <v>42944</v>
      </c>
      <c r="D433" s="36" t="s">
        <v>452</v>
      </c>
      <c r="E433" s="36" t="s">
        <v>527</v>
      </c>
      <c r="F433" s="36" t="s">
        <v>985</v>
      </c>
      <c r="G433" s="36" t="s">
        <v>631</v>
      </c>
      <c r="H433" s="36" t="s">
        <v>535</v>
      </c>
      <c r="I433" s="37" t="s">
        <v>540</v>
      </c>
      <c r="J433" s="38">
        <v>1470.7874999999999</v>
      </c>
      <c r="K433" s="39">
        <v>14.620513100266507</v>
      </c>
      <c r="L433" s="39">
        <v>8.9746676940859018</v>
      </c>
      <c r="M433" s="38" t="s">
        <v>539</v>
      </c>
      <c r="N433" s="38">
        <v>1283.18</v>
      </c>
      <c r="O433" s="38">
        <v>1349.66</v>
      </c>
      <c r="P433" s="39" t="s">
        <v>540</v>
      </c>
      <c r="Q433" s="39" t="s">
        <v>540</v>
      </c>
      <c r="R433" s="40"/>
      <c r="S433" s="38">
        <v>721.55</v>
      </c>
      <c r="T433" s="39">
        <v>49.058752539030962</v>
      </c>
      <c r="U433" s="39">
        <v>-760.59398657758447</v>
      </c>
      <c r="V433" s="38" t="s">
        <v>539</v>
      </c>
      <c r="W433" s="38">
        <v>727.11</v>
      </c>
      <c r="X433" s="38">
        <v>629.58000000000004</v>
      </c>
      <c r="Y433" s="39" t="s">
        <v>540</v>
      </c>
      <c r="Z433" s="39" t="s">
        <v>540</v>
      </c>
      <c r="AA433" s="41" t="s">
        <v>540</v>
      </c>
      <c r="AB433" s="42" t="s">
        <v>540</v>
      </c>
      <c r="AC433" s="40"/>
      <c r="AD433" s="43">
        <v>422.75709999999998</v>
      </c>
      <c r="AE433" s="39">
        <v>-18.00358819193919</v>
      </c>
      <c r="AF433" s="39">
        <v>15.871481430724943</v>
      </c>
      <c r="AG433" s="43" t="s">
        <v>539</v>
      </c>
      <c r="AH433" s="43">
        <v>515.58000000000004</v>
      </c>
      <c r="AI433" s="43">
        <v>364.85</v>
      </c>
      <c r="AJ433" s="39" t="s">
        <v>539</v>
      </c>
      <c r="AK433" s="39" t="s">
        <v>539</v>
      </c>
      <c r="AL433" s="44"/>
      <c r="AM433" s="43">
        <v>422.75709999999998</v>
      </c>
      <c r="AN433" s="39">
        <v>-17.003926418909643</v>
      </c>
      <c r="AO433" s="39">
        <v>17.726844890002781</v>
      </c>
      <c r="AP433" s="43" t="s">
        <v>539</v>
      </c>
      <c r="AQ433" s="43">
        <v>509.37</v>
      </c>
      <c r="AR433" s="43">
        <v>359.1</v>
      </c>
      <c r="AS433" s="39" t="s">
        <v>539</v>
      </c>
      <c r="AT433" s="39" t="s">
        <v>539</v>
      </c>
      <c r="AU433" s="1">
        <v>56836.542410855</v>
      </c>
    </row>
    <row r="434" spans="2:47" ht="18" customHeight="1" x14ac:dyDescent="0.25">
      <c r="B434" s="2">
        <f>IF(G434=$B$6,MAX(B$7:B433)+1,IF($B$6="Nifty 500 - All Sector",B433+1,0))</f>
        <v>0</v>
      </c>
      <c r="C434" s="36">
        <v>12607</v>
      </c>
      <c r="D434" s="36" t="s">
        <v>453</v>
      </c>
      <c r="E434" s="36" t="s">
        <v>533</v>
      </c>
      <c r="F434" s="36" t="s">
        <v>986</v>
      </c>
      <c r="G434" s="36" t="s">
        <v>631</v>
      </c>
      <c r="H434" s="36" t="s">
        <v>535</v>
      </c>
      <c r="I434" s="37" t="s">
        <v>540</v>
      </c>
      <c r="J434" s="38">
        <v>2388.8727272727274</v>
      </c>
      <c r="K434" s="39">
        <v>4.7122004441509935</v>
      </c>
      <c r="L434" s="39">
        <v>3.7864174301273756</v>
      </c>
      <c r="M434" s="38" t="s">
        <v>539</v>
      </c>
      <c r="N434" s="38">
        <v>2281.37</v>
      </c>
      <c r="O434" s="38">
        <v>2301.7199999999998</v>
      </c>
      <c r="P434" s="39" t="s">
        <v>540</v>
      </c>
      <c r="Q434" s="39" t="s">
        <v>540</v>
      </c>
      <c r="R434" s="40"/>
      <c r="S434" s="38">
        <v>505.18</v>
      </c>
      <c r="T434" s="39">
        <v>21.147212835266537</v>
      </c>
      <c r="U434" s="39">
        <v>214.72259852597409</v>
      </c>
      <c r="V434" s="38" t="s">
        <v>539</v>
      </c>
      <c r="W434" s="38">
        <v>433.46</v>
      </c>
      <c r="X434" s="38">
        <v>505.89</v>
      </c>
      <c r="Y434" s="39" t="s">
        <v>540</v>
      </c>
      <c r="Z434" s="39" t="s">
        <v>540</v>
      </c>
      <c r="AA434" s="41" t="s">
        <v>540</v>
      </c>
      <c r="AB434" s="42" t="s">
        <v>540</v>
      </c>
      <c r="AC434" s="40"/>
      <c r="AD434" s="43">
        <v>334.52499999999998</v>
      </c>
      <c r="AE434" s="39">
        <v>10.718541073674448</v>
      </c>
      <c r="AF434" s="39">
        <v>1.6422581429265781</v>
      </c>
      <c r="AG434" s="43" t="s">
        <v>539</v>
      </c>
      <c r="AH434" s="43">
        <v>302.14</v>
      </c>
      <c r="AI434" s="43">
        <v>329.12</v>
      </c>
      <c r="AJ434" s="39" t="s">
        <v>539</v>
      </c>
      <c r="AK434" s="39" t="s">
        <v>539</v>
      </c>
      <c r="AL434" s="44"/>
      <c r="AM434" s="43">
        <v>334.52499999999998</v>
      </c>
      <c r="AN434" s="39">
        <v>10.718541073674448</v>
      </c>
      <c r="AO434" s="39">
        <v>1.6422581429265781</v>
      </c>
      <c r="AP434" s="43" t="s">
        <v>539</v>
      </c>
      <c r="AQ434" s="43">
        <v>302.14</v>
      </c>
      <c r="AR434" s="43">
        <v>329.12</v>
      </c>
      <c r="AS434" s="39" t="s">
        <v>539</v>
      </c>
      <c r="AT434" s="39" t="s">
        <v>539</v>
      </c>
      <c r="AU434" s="1">
        <v>37250.733200850002</v>
      </c>
    </row>
    <row r="435" spans="2:47" ht="18" customHeight="1" x14ac:dyDescent="0.25">
      <c r="B435" s="2">
        <f>IF(G435=$B$6,MAX(B$7:B434)+1,IF($B$6="Nifty 500 - All Sector",B434+1,0))</f>
        <v>0</v>
      </c>
      <c r="C435" s="36">
        <v>68151</v>
      </c>
      <c r="D435" s="36" t="s">
        <v>454</v>
      </c>
      <c r="E435" s="36" t="s">
        <v>527</v>
      </c>
      <c r="F435" s="36" t="s">
        <v>987</v>
      </c>
      <c r="G435" s="36" t="s">
        <v>631</v>
      </c>
      <c r="H435" s="36" t="s">
        <v>529</v>
      </c>
      <c r="I435" s="37" t="s">
        <v>540</v>
      </c>
      <c r="J435" s="38">
        <v>2694.727272727273</v>
      </c>
      <c r="K435" s="39">
        <v>22.958983335536011</v>
      </c>
      <c r="L435" s="39">
        <v>-3.9308120351661979</v>
      </c>
      <c r="M435" s="38" t="s">
        <v>539</v>
      </c>
      <c r="N435" s="38">
        <v>2191.5659999999998</v>
      </c>
      <c r="O435" s="38">
        <v>2804.9859999999999</v>
      </c>
      <c r="P435" s="39" t="s">
        <v>540</v>
      </c>
      <c r="Q435" s="39" t="s">
        <v>540</v>
      </c>
      <c r="R435" s="40"/>
      <c r="S435" s="38">
        <v>193.37</v>
      </c>
      <c r="T435" s="39">
        <v>7.1758653262262992</v>
      </c>
      <c r="U435" s="39">
        <v>174.2627175972097</v>
      </c>
      <c r="V435" s="38" t="s">
        <v>539</v>
      </c>
      <c r="W435" s="38">
        <v>119.07299999999999</v>
      </c>
      <c r="X435" s="38">
        <v>208.773</v>
      </c>
      <c r="Y435" s="39" t="s">
        <v>540</v>
      </c>
      <c r="Z435" s="39" t="s">
        <v>540</v>
      </c>
      <c r="AA435" s="41" t="s">
        <v>540</v>
      </c>
      <c r="AB435" s="42" t="s">
        <v>540</v>
      </c>
      <c r="AC435" s="40"/>
      <c r="AD435" s="43">
        <v>65.3</v>
      </c>
      <c r="AE435" s="39">
        <v>17.365829109601137</v>
      </c>
      <c r="AF435" s="39">
        <v>73.306085617983015</v>
      </c>
      <c r="AG435" s="43" t="s">
        <v>539</v>
      </c>
      <c r="AH435" s="43">
        <v>55.638000000000098</v>
      </c>
      <c r="AI435" s="43">
        <v>37.679000000000102</v>
      </c>
      <c r="AJ435" s="39" t="s">
        <v>539</v>
      </c>
      <c r="AK435" s="39" t="s">
        <v>539</v>
      </c>
      <c r="AL435" s="44"/>
      <c r="AM435" s="43">
        <v>65.3</v>
      </c>
      <c r="AN435" s="39">
        <v>-10.001791694805473</v>
      </c>
      <c r="AO435" s="39">
        <v>64.865683700262579</v>
      </c>
      <c r="AP435" s="43" t="s">
        <v>539</v>
      </c>
      <c r="AQ435" s="43">
        <v>72.557000000000002</v>
      </c>
      <c r="AR435" s="43">
        <v>39.607999999999997</v>
      </c>
      <c r="AS435" s="39" t="s">
        <v>539</v>
      </c>
      <c r="AT435" s="39" t="s">
        <v>539</v>
      </c>
      <c r="AU435" s="1">
        <v>34402.504601350003</v>
      </c>
    </row>
    <row r="436" spans="2:47" ht="18" customHeight="1" x14ac:dyDescent="0.25">
      <c r="B436" s="2">
        <f>IF(G436=$B$6,MAX(B$7:B435)+1,IF($B$6="Nifty 500 - All Sector",B435+1,0))</f>
        <v>0</v>
      </c>
      <c r="C436" s="36">
        <v>207</v>
      </c>
      <c r="D436" s="36" t="s">
        <v>455</v>
      </c>
      <c r="E436" s="36" t="s">
        <v>527</v>
      </c>
      <c r="F436" s="36" t="s">
        <v>988</v>
      </c>
      <c r="G436" s="36" t="s">
        <v>631</v>
      </c>
      <c r="H436" s="36" t="s">
        <v>529</v>
      </c>
      <c r="I436" s="37" t="s">
        <v>540</v>
      </c>
      <c r="J436" s="38" t="s">
        <v>539</v>
      </c>
      <c r="K436" s="39" t="s">
        <v>540</v>
      </c>
      <c r="L436" s="39" t="s">
        <v>540</v>
      </c>
      <c r="M436" s="38" t="s">
        <v>539</v>
      </c>
      <c r="N436" s="38">
        <v>1223.04</v>
      </c>
      <c r="O436" s="38">
        <v>1454.44</v>
      </c>
      <c r="P436" s="39" t="s">
        <v>540</v>
      </c>
      <c r="Q436" s="39" t="s">
        <v>540</v>
      </c>
      <c r="R436" s="40"/>
      <c r="S436" s="38" t="s">
        <v>539</v>
      </c>
      <c r="T436" s="39" t="s">
        <v>540</v>
      </c>
      <c r="U436" s="39" t="s">
        <v>540</v>
      </c>
      <c r="V436" s="38" t="s">
        <v>539</v>
      </c>
      <c r="W436" s="38">
        <v>501.62</v>
      </c>
      <c r="X436" s="38">
        <v>835.65</v>
      </c>
      <c r="Y436" s="39" t="s">
        <v>540</v>
      </c>
      <c r="Z436" s="39" t="s">
        <v>540</v>
      </c>
      <c r="AA436" s="41" t="s">
        <v>540</v>
      </c>
      <c r="AB436" s="42" t="s">
        <v>540</v>
      </c>
      <c r="AC436" s="40"/>
      <c r="AD436" s="43">
        <v>440.2</v>
      </c>
      <c r="AE436" s="39">
        <v>21.237158831143809</v>
      </c>
      <c r="AF436" s="39">
        <v>-45.822872052380248</v>
      </c>
      <c r="AG436" s="43" t="s">
        <v>539</v>
      </c>
      <c r="AH436" s="43">
        <v>363.09</v>
      </c>
      <c r="AI436" s="43">
        <v>812.52</v>
      </c>
      <c r="AJ436" s="39" t="s">
        <v>539</v>
      </c>
      <c r="AK436" s="39" t="s">
        <v>539</v>
      </c>
      <c r="AL436" s="44"/>
      <c r="AM436" s="43">
        <v>440.2</v>
      </c>
      <c r="AN436" s="39">
        <v>21.237158831143809</v>
      </c>
      <c r="AO436" s="39">
        <v>-45.822872052380248</v>
      </c>
      <c r="AP436" s="43" t="s">
        <v>539</v>
      </c>
      <c r="AQ436" s="43">
        <v>363.09</v>
      </c>
      <c r="AR436" s="43">
        <v>812.52</v>
      </c>
      <c r="AS436" s="39" t="s">
        <v>539</v>
      </c>
      <c r="AT436" s="39" t="s">
        <v>539</v>
      </c>
      <c r="AU436" s="1">
        <v>20003.10692771</v>
      </c>
    </row>
    <row r="437" spans="2:47" ht="18" customHeight="1" x14ac:dyDescent="0.25">
      <c r="B437" s="2">
        <f>IF(G437=$B$6,MAX(B$7:B436)+1,IF($B$6="Nifty 500 - All Sector",B436+1,0))</f>
        <v>0</v>
      </c>
      <c r="C437" s="36">
        <v>74261</v>
      </c>
      <c r="D437" s="36" t="s">
        <v>456</v>
      </c>
      <c r="E437" s="36" t="s">
        <v>527</v>
      </c>
      <c r="F437" s="36" t="s">
        <v>989</v>
      </c>
      <c r="G437" s="36" t="s">
        <v>631</v>
      </c>
      <c r="H437" s="36" t="s">
        <v>529</v>
      </c>
      <c r="I437" s="37" t="s">
        <v>540</v>
      </c>
      <c r="J437" s="38" t="s">
        <v>539</v>
      </c>
      <c r="K437" s="39" t="s">
        <v>540</v>
      </c>
      <c r="L437" s="39" t="s">
        <v>540</v>
      </c>
      <c r="M437" s="38" t="s">
        <v>539</v>
      </c>
      <c r="N437" s="38">
        <v>156.90100000000001</v>
      </c>
      <c r="O437" s="38">
        <v>197.489</v>
      </c>
      <c r="P437" s="39" t="s">
        <v>540</v>
      </c>
      <c r="Q437" s="39" t="s">
        <v>540</v>
      </c>
      <c r="R437" s="40"/>
      <c r="S437" s="38" t="s">
        <v>539</v>
      </c>
      <c r="T437" s="39" t="s">
        <v>540</v>
      </c>
      <c r="U437" s="39" t="s">
        <v>540</v>
      </c>
      <c r="V437" s="38" t="s">
        <v>539</v>
      </c>
      <c r="W437" s="38">
        <v>116.301</v>
      </c>
      <c r="X437" s="38">
        <v>145.904</v>
      </c>
      <c r="Y437" s="39" t="s">
        <v>540</v>
      </c>
      <c r="Z437" s="39" t="s">
        <v>540</v>
      </c>
      <c r="AA437" s="41" t="s">
        <v>540</v>
      </c>
      <c r="AB437" s="42" t="s">
        <v>540</v>
      </c>
      <c r="AC437" s="40"/>
      <c r="AD437" s="43">
        <v>80.3</v>
      </c>
      <c r="AE437" s="39">
        <v>94.247562834127592</v>
      </c>
      <c r="AF437" s="39">
        <v>30.539389407289399</v>
      </c>
      <c r="AG437" s="43" t="s">
        <v>539</v>
      </c>
      <c r="AH437" s="43">
        <v>41.338999999999999</v>
      </c>
      <c r="AI437" s="43">
        <v>61.514000000000003</v>
      </c>
      <c r="AJ437" s="39" t="s">
        <v>539</v>
      </c>
      <c r="AK437" s="39" t="s">
        <v>539</v>
      </c>
      <c r="AL437" s="44"/>
      <c r="AM437" s="43">
        <v>80.3</v>
      </c>
      <c r="AN437" s="39">
        <v>94.247562834127592</v>
      </c>
      <c r="AO437" s="39">
        <v>30.539389407289399</v>
      </c>
      <c r="AP437" s="43" t="s">
        <v>539</v>
      </c>
      <c r="AQ437" s="43">
        <v>41.338999999999999</v>
      </c>
      <c r="AR437" s="43">
        <v>61.514000000000003</v>
      </c>
      <c r="AS437" s="39" t="s">
        <v>539</v>
      </c>
      <c r="AT437" s="39" t="s">
        <v>539</v>
      </c>
      <c r="AU437" s="1">
        <v>21716.633184400001</v>
      </c>
    </row>
    <row r="438" spans="2:47" ht="18" customHeight="1" x14ac:dyDescent="0.25">
      <c r="B438" s="2">
        <f>IF(G438=$B$6,MAX(B$7:B437)+1,IF($B$6="Nifty 500 - All Sector",B437+1,0))</f>
        <v>0</v>
      </c>
      <c r="C438" s="36">
        <v>4177</v>
      </c>
      <c r="D438" s="36" t="s">
        <v>457</v>
      </c>
      <c r="E438" s="36" t="s">
        <v>527</v>
      </c>
      <c r="F438" s="36" t="s">
        <v>990</v>
      </c>
      <c r="G438" s="36" t="s">
        <v>631</v>
      </c>
      <c r="H438" s="36" t="s">
        <v>529</v>
      </c>
      <c r="I438" s="37" t="s">
        <v>540</v>
      </c>
      <c r="J438" s="38">
        <v>1545.0666666666666</v>
      </c>
      <c r="K438" s="39">
        <v>9.0132550635471542</v>
      </c>
      <c r="L438" s="39">
        <v>-4.3989043989044134</v>
      </c>
      <c r="M438" s="38" t="s">
        <v>539</v>
      </c>
      <c r="N438" s="38">
        <v>1417.32</v>
      </c>
      <c r="O438" s="38">
        <v>1616.16</v>
      </c>
      <c r="P438" s="39" t="s">
        <v>540</v>
      </c>
      <c r="Q438" s="39" t="s">
        <v>540</v>
      </c>
      <c r="R438" s="40"/>
      <c r="S438" s="38">
        <v>242.25</v>
      </c>
      <c r="T438" s="39">
        <v>15.678935105281328</v>
      </c>
      <c r="U438" s="39">
        <v>64.069391768784101</v>
      </c>
      <c r="V438" s="38" t="s">
        <v>539</v>
      </c>
      <c r="W438" s="38">
        <v>213.14</v>
      </c>
      <c r="X438" s="38">
        <v>280.94</v>
      </c>
      <c r="Y438" s="39" t="s">
        <v>540</v>
      </c>
      <c r="Z438" s="39" t="s">
        <v>540</v>
      </c>
      <c r="AA438" s="41" t="s">
        <v>540</v>
      </c>
      <c r="AB438" s="42" t="s">
        <v>540</v>
      </c>
      <c r="AC438" s="40"/>
      <c r="AD438" s="43">
        <v>67.033299999999997</v>
      </c>
      <c r="AE438" s="39">
        <v>21.547234814143689</v>
      </c>
      <c r="AF438" s="39">
        <v>-1.8977023269426407</v>
      </c>
      <c r="AG438" s="43" t="s">
        <v>539</v>
      </c>
      <c r="AH438" s="43">
        <v>55.1499999999998</v>
      </c>
      <c r="AI438" s="43">
        <v>68.329999999999899</v>
      </c>
      <c r="AJ438" s="39" t="s">
        <v>539</v>
      </c>
      <c r="AK438" s="39" t="s">
        <v>539</v>
      </c>
      <c r="AL438" s="44"/>
      <c r="AM438" s="43">
        <v>67.033299999999997</v>
      </c>
      <c r="AN438" s="39">
        <v>21.547234814143245</v>
      </c>
      <c r="AO438" s="39">
        <v>-1.8977023269427851</v>
      </c>
      <c r="AP438" s="43" t="s">
        <v>539</v>
      </c>
      <c r="AQ438" s="43">
        <v>55.15</v>
      </c>
      <c r="AR438" s="43">
        <v>68.33</v>
      </c>
      <c r="AS438" s="39" t="s">
        <v>539</v>
      </c>
      <c r="AT438" s="39" t="s">
        <v>539</v>
      </c>
      <c r="AU438" s="1">
        <v>12269.83331107</v>
      </c>
    </row>
    <row r="439" spans="2:47" ht="18" customHeight="1" x14ac:dyDescent="0.25">
      <c r="B439" s="2">
        <f>IF(G439=$B$6,MAX(B$7:B438)+1,IF($B$6="Nifty 500 - All Sector",B438+1,0))</f>
        <v>0</v>
      </c>
      <c r="C439" s="36">
        <v>2347</v>
      </c>
      <c r="D439" s="36" t="s">
        <v>458</v>
      </c>
      <c r="E439" s="36" t="s">
        <v>527</v>
      </c>
      <c r="F439" s="36" t="s">
        <v>991</v>
      </c>
      <c r="G439" s="36" t="s">
        <v>631</v>
      </c>
      <c r="H439" s="36" t="s">
        <v>529</v>
      </c>
      <c r="I439" s="37" t="s">
        <v>540</v>
      </c>
      <c r="J439" s="38" t="s">
        <v>539</v>
      </c>
      <c r="K439" s="39" t="s">
        <v>540</v>
      </c>
      <c r="L439" s="39" t="s">
        <v>540</v>
      </c>
      <c r="M439" s="38" t="s">
        <v>539</v>
      </c>
      <c r="N439" s="38">
        <v>1325.19</v>
      </c>
      <c r="O439" s="38">
        <v>1611.67</v>
      </c>
      <c r="P439" s="39" t="s">
        <v>540</v>
      </c>
      <c r="Q439" s="39" t="s">
        <v>540</v>
      </c>
      <c r="R439" s="40"/>
      <c r="S439" s="38" t="s">
        <v>539</v>
      </c>
      <c r="T439" s="39" t="s">
        <v>540</v>
      </c>
      <c r="U439" s="39" t="s">
        <v>540</v>
      </c>
      <c r="V439" s="38" t="s">
        <v>539</v>
      </c>
      <c r="W439" s="38">
        <v>364.64</v>
      </c>
      <c r="X439" s="38">
        <v>678.14</v>
      </c>
      <c r="Y439" s="39" t="s">
        <v>540</v>
      </c>
      <c r="Z439" s="39" t="s">
        <v>540</v>
      </c>
      <c r="AA439" s="41" t="s">
        <v>540</v>
      </c>
      <c r="AB439" s="42" t="s">
        <v>540</v>
      </c>
      <c r="AC439" s="40"/>
      <c r="AD439" s="43" t="s">
        <v>540</v>
      </c>
      <c r="AE439" s="39" t="s">
        <v>539</v>
      </c>
      <c r="AF439" s="39" t="s">
        <v>539</v>
      </c>
      <c r="AG439" s="43" t="s">
        <v>539</v>
      </c>
      <c r="AH439" s="43">
        <v>172.3</v>
      </c>
      <c r="AI439" s="43">
        <v>393.21</v>
      </c>
      <c r="AJ439" s="39" t="s">
        <v>539</v>
      </c>
      <c r="AK439" s="39" t="s">
        <v>539</v>
      </c>
      <c r="AL439" s="44"/>
      <c r="AM439" s="43" t="s">
        <v>539</v>
      </c>
      <c r="AN439" s="39" t="s">
        <v>539</v>
      </c>
      <c r="AO439" s="39" t="s">
        <v>539</v>
      </c>
      <c r="AP439" s="43" t="s">
        <v>539</v>
      </c>
      <c r="AQ439" s="43">
        <v>185.14</v>
      </c>
      <c r="AR439" s="43">
        <v>404.97</v>
      </c>
      <c r="AS439" s="39" t="s">
        <v>539</v>
      </c>
      <c r="AT439" s="39" t="s">
        <v>539</v>
      </c>
      <c r="AU439" s="1">
        <v>11796.35992825</v>
      </c>
    </row>
    <row r="440" spans="2:47" ht="18" customHeight="1" x14ac:dyDescent="0.25">
      <c r="B440" s="2">
        <f>IF(G440=$B$6,MAX(B$7:B439)+1,IF($B$6="Nifty 500 - All Sector",B439+1,0))</f>
        <v>0</v>
      </c>
      <c r="C440" s="36">
        <v>502</v>
      </c>
      <c r="D440" s="36" t="s">
        <v>459</v>
      </c>
      <c r="E440" s="36" t="s">
        <v>527</v>
      </c>
      <c r="F440" s="36" t="s">
        <v>992</v>
      </c>
      <c r="G440" s="36" t="s">
        <v>600</v>
      </c>
      <c r="H440" s="36" t="s">
        <v>532</v>
      </c>
      <c r="I440" s="37" t="s">
        <v>540</v>
      </c>
      <c r="J440" s="38">
        <v>49553.279999999999</v>
      </c>
      <c r="K440" s="39">
        <v>22.48987764182424</v>
      </c>
      <c r="L440" s="39">
        <v>112.04707090590098</v>
      </c>
      <c r="M440" s="38" t="s">
        <v>539</v>
      </c>
      <c r="N440" s="38">
        <v>40455</v>
      </c>
      <c r="O440" s="38">
        <v>23369</v>
      </c>
      <c r="P440" s="39" t="s">
        <v>540</v>
      </c>
      <c r="Q440" s="39" t="s">
        <v>540</v>
      </c>
      <c r="R440" s="40"/>
      <c r="S440" s="38">
        <v>18121.060000000001</v>
      </c>
      <c r="T440" s="39">
        <v>36.568840649902491</v>
      </c>
      <c r="U440" s="39">
        <v>822.62377578001531</v>
      </c>
      <c r="V440" s="38" t="s">
        <v>539</v>
      </c>
      <c r="W440" s="38">
        <v>11466</v>
      </c>
      <c r="X440" s="38">
        <v>6866</v>
      </c>
      <c r="Y440" s="39" t="s">
        <v>540</v>
      </c>
      <c r="Z440" s="39" t="s">
        <v>540</v>
      </c>
      <c r="AA440" s="41" t="s">
        <v>540</v>
      </c>
      <c r="AB440" s="42" t="s">
        <v>540</v>
      </c>
      <c r="AC440" s="40"/>
      <c r="AD440" s="43">
        <v>8471.0499999999993</v>
      </c>
      <c r="AE440" s="39">
        <v>70.787298387096769</v>
      </c>
      <c r="AF440" s="39">
        <v>130.69308278867103</v>
      </c>
      <c r="AG440" s="43" t="s">
        <v>539</v>
      </c>
      <c r="AH440" s="43">
        <v>4960</v>
      </c>
      <c r="AI440" s="43">
        <v>3672</v>
      </c>
      <c r="AJ440" s="39" t="s">
        <v>539</v>
      </c>
      <c r="AK440" s="39" t="s">
        <v>539</v>
      </c>
      <c r="AL440" s="44"/>
      <c r="AM440" s="43">
        <v>8471.0499999999993</v>
      </c>
      <c r="AN440" s="39">
        <v>143.21131208728107</v>
      </c>
      <c r="AO440" s="39">
        <v>48.354640980735539</v>
      </c>
      <c r="AP440" s="43" t="s">
        <v>539</v>
      </c>
      <c r="AQ440" s="43">
        <v>3483</v>
      </c>
      <c r="AR440" s="43">
        <v>5710</v>
      </c>
      <c r="AS440" s="39" t="s">
        <v>539</v>
      </c>
      <c r="AT440" s="39" t="s">
        <v>539</v>
      </c>
      <c r="AU440" s="1">
        <v>299496.62128562998</v>
      </c>
    </row>
    <row r="441" spans="2:47" ht="18" customHeight="1" x14ac:dyDescent="0.25">
      <c r="B441" s="2">
        <f>IF(G441=$B$6,MAX(B$7:B440)+1,IF($B$6="Nifty 500 - All Sector",B440+1,0))</f>
        <v>0</v>
      </c>
      <c r="C441" s="36">
        <v>566</v>
      </c>
      <c r="D441" s="36" t="s">
        <v>460</v>
      </c>
      <c r="E441" s="36" t="s">
        <v>527</v>
      </c>
      <c r="F441" s="36" t="s">
        <v>993</v>
      </c>
      <c r="G441" s="36" t="s">
        <v>600</v>
      </c>
      <c r="H441" s="36" t="s">
        <v>532</v>
      </c>
      <c r="I441" s="37" t="s">
        <v>540</v>
      </c>
      <c r="J441" s="38">
        <v>62489.554545454543</v>
      </c>
      <c r="K441" s="39">
        <v>11.155559205840504</v>
      </c>
      <c r="L441" s="39">
        <v>9.6261816089402217</v>
      </c>
      <c r="M441" s="38" t="s">
        <v>539</v>
      </c>
      <c r="N441" s="38">
        <v>56218.11</v>
      </c>
      <c r="O441" s="38">
        <v>57002.400000000001</v>
      </c>
      <c r="P441" s="39" t="s">
        <v>540</v>
      </c>
      <c r="Q441" s="39" t="s">
        <v>540</v>
      </c>
      <c r="R441" s="40"/>
      <c r="S441" s="38">
        <v>9348.2833333333328</v>
      </c>
      <c r="T441" s="39">
        <v>14.959753516139157</v>
      </c>
      <c r="U441" s="39">
        <v>329.2303294137742</v>
      </c>
      <c r="V441" s="38" t="s">
        <v>539</v>
      </c>
      <c r="W441" s="38">
        <v>6559.22</v>
      </c>
      <c r="X441" s="38">
        <v>8199.7000000000098</v>
      </c>
      <c r="Y441" s="39" t="s">
        <v>540</v>
      </c>
      <c r="Z441" s="39" t="s">
        <v>540</v>
      </c>
      <c r="AA441" s="41" t="s">
        <v>540</v>
      </c>
      <c r="AB441" s="42" t="s">
        <v>540</v>
      </c>
      <c r="AC441" s="40"/>
      <c r="AD441" s="43">
        <v>2694.95</v>
      </c>
      <c r="AE441" s="39">
        <v>139.74717101985624</v>
      </c>
      <c r="AF441" s="39">
        <v>2.609645866410415</v>
      </c>
      <c r="AG441" s="43" t="s">
        <v>539</v>
      </c>
      <c r="AH441" s="43">
        <v>1124.08</v>
      </c>
      <c r="AI441" s="43">
        <v>2626.4100000000099</v>
      </c>
      <c r="AJ441" s="39" t="s">
        <v>539</v>
      </c>
      <c r="AK441" s="39" t="s">
        <v>539</v>
      </c>
      <c r="AL441" s="44"/>
      <c r="AM441" s="43">
        <v>2694.95</v>
      </c>
      <c r="AN441" s="39">
        <v>107.17476034163327</v>
      </c>
      <c r="AO441" s="39">
        <v>0.23245434596645964</v>
      </c>
      <c r="AP441" s="43" t="s">
        <v>539</v>
      </c>
      <c r="AQ441" s="43">
        <v>1300.81</v>
      </c>
      <c r="AR441" s="43">
        <v>2688.7</v>
      </c>
      <c r="AS441" s="39" t="s">
        <v>539</v>
      </c>
      <c r="AT441" s="39" t="s">
        <v>539</v>
      </c>
      <c r="AU441" s="1">
        <v>260654.56025688001</v>
      </c>
    </row>
    <row r="442" spans="2:47" ht="18" customHeight="1" x14ac:dyDescent="0.25">
      <c r="B442" s="2">
        <f>IF(G442=$B$6,MAX(B$7:B441)+1,IF($B$6="Nifty 500 - All Sector",B441+1,0))</f>
        <v>0</v>
      </c>
      <c r="C442" s="36">
        <v>2307</v>
      </c>
      <c r="D442" s="36" t="s">
        <v>461</v>
      </c>
      <c r="E442" s="36" t="s">
        <v>527</v>
      </c>
      <c r="F442" s="36" t="s">
        <v>994</v>
      </c>
      <c r="G442" s="36" t="s">
        <v>600</v>
      </c>
      <c r="H442" s="36" t="s">
        <v>532</v>
      </c>
      <c r="I442" s="37" t="s">
        <v>540</v>
      </c>
      <c r="J442" s="38">
        <v>11624.8</v>
      </c>
      <c r="K442" s="39">
        <v>27.927808957851873</v>
      </c>
      <c r="L442" s="39">
        <v>5.8724954462659351</v>
      </c>
      <c r="M442" s="38" t="s">
        <v>539</v>
      </c>
      <c r="N442" s="38">
        <v>9087</v>
      </c>
      <c r="O442" s="38">
        <v>10980</v>
      </c>
      <c r="P442" s="39" t="s">
        <v>540</v>
      </c>
      <c r="Q442" s="39" t="s">
        <v>540</v>
      </c>
      <c r="R442" s="40"/>
      <c r="S442" s="38">
        <v>6498.7</v>
      </c>
      <c r="T442" s="39">
        <v>55.903757483999726</v>
      </c>
      <c r="U442" s="39">
        <v>286.09490763844576</v>
      </c>
      <c r="V442" s="38" t="s">
        <v>539</v>
      </c>
      <c r="W442" s="38">
        <v>4820</v>
      </c>
      <c r="X442" s="38">
        <v>6054</v>
      </c>
      <c r="Y442" s="39" t="s">
        <v>540</v>
      </c>
      <c r="Z442" s="39" t="s">
        <v>540</v>
      </c>
      <c r="AA442" s="41" t="s">
        <v>540</v>
      </c>
      <c r="AB442" s="42" t="s">
        <v>540</v>
      </c>
      <c r="AC442" s="40"/>
      <c r="AD442" s="43">
        <v>4162.95</v>
      </c>
      <c r="AE442" s="39">
        <v>38.626373626373621</v>
      </c>
      <c r="AF442" s="39">
        <v>6.3061797752808957</v>
      </c>
      <c r="AG442" s="43" t="s">
        <v>539</v>
      </c>
      <c r="AH442" s="43">
        <v>3003</v>
      </c>
      <c r="AI442" s="43">
        <v>3916</v>
      </c>
      <c r="AJ442" s="39" t="s">
        <v>539</v>
      </c>
      <c r="AK442" s="39" t="s">
        <v>539</v>
      </c>
      <c r="AL442" s="44"/>
      <c r="AM442" s="43">
        <v>4162.95</v>
      </c>
      <c r="AN442" s="39">
        <v>38.626373626373621</v>
      </c>
      <c r="AO442" s="39">
        <v>6.3061797752808957</v>
      </c>
      <c r="AP442" s="43" t="s">
        <v>539</v>
      </c>
      <c r="AQ442" s="43">
        <v>3003</v>
      </c>
      <c r="AR442" s="43">
        <v>3916</v>
      </c>
      <c r="AS442" s="39" t="s">
        <v>539</v>
      </c>
      <c r="AT442" s="39" t="s">
        <v>539</v>
      </c>
      <c r="AU442" s="1">
        <v>245216.38816500001</v>
      </c>
    </row>
    <row r="443" spans="2:47" ht="18" customHeight="1" x14ac:dyDescent="0.25">
      <c r="B443" s="2">
        <f>IF(G443=$B$6,MAX(B$7:B442)+1,IF($B$6="Nifty 500 - All Sector",B442+1,0))</f>
        <v>0</v>
      </c>
      <c r="C443" s="36">
        <v>20287</v>
      </c>
      <c r="D443" s="36" t="s">
        <v>462</v>
      </c>
      <c r="E443" s="36" t="s">
        <v>527</v>
      </c>
      <c r="F443" s="36" t="s">
        <v>995</v>
      </c>
      <c r="G443" s="36" t="s">
        <v>600</v>
      </c>
      <c r="H443" s="36" t="s">
        <v>532</v>
      </c>
      <c r="I443" s="37" t="s">
        <v>540</v>
      </c>
      <c r="J443" s="38">
        <v>15184.560000000001</v>
      </c>
      <c r="K443" s="39">
        <v>15.181751222964524</v>
      </c>
      <c r="L443" s="39">
        <v>16.565527692119918</v>
      </c>
      <c r="M443" s="38" t="s">
        <v>539</v>
      </c>
      <c r="N443" s="38">
        <v>13183.13</v>
      </c>
      <c r="O443" s="38">
        <v>13026.63</v>
      </c>
      <c r="P443" s="39" t="s">
        <v>540</v>
      </c>
      <c r="Q443" s="39" t="s">
        <v>540</v>
      </c>
      <c r="R443" s="40"/>
      <c r="S443" s="38">
        <v>2608.1272727272726</v>
      </c>
      <c r="T443" s="39">
        <v>17.176179439689214</v>
      </c>
      <c r="U443" s="39">
        <v>-4.8485719495289459</v>
      </c>
      <c r="V443" s="38" t="s">
        <v>539</v>
      </c>
      <c r="W443" s="38">
        <v>2270.75</v>
      </c>
      <c r="X443" s="38">
        <v>1633.72</v>
      </c>
      <c r="Y443" s="39" t="s">
        <v>540</v>
      </c>
      <c r="Z443" s="39" t="s">
        <v>540</v>
      </c>
      <c r="AA443" s="41" t="s">
        <v>540</v>
      </c>
      <c r="AB443" s="42" t="s">
        <v>540</v>
      </c>
      <c r="AC443" s="40"/>
      <c r="AD443" s="43">
        <v>844.7</v>
      </c>
      <c r="AE443" s="39" t="s">
        <v>547</v>
      </c>
      <c r="AF443" s="39">
        <v>336.98913605793877</v>
      </c>
      <c r="AG443" s="43" t="s">
        <v>539</v>
      </c>
      <c r="AH443" s="43">
        <v>-294.44000000000102</v>
      </c>
      <c r="AI443" s="43">
        <v>193.30000000000101</v>
      </c>
      <c r="AJ443" s="39" t="s">
        <v>547</v>
      </c>
      <c r="AK443" s="39" t="s">
        <v>539</v>
      </c>
      <c r="AL443" s="44"/>
      <c r="AM443" s="43">
        <v>844.7</v>
      </c>
      <c r="AN443" s="39" t="s">
        <v>547</v>
      </c>
      <c r="AO443" s="39">
        <v>343.57506695373627</v>
      </c>
      <c r="AP443" s="43" t="s">
        <v>539</v>
      </c>
      <c r="AQ443" s="43">
        <v>-339.4</v>
      </c>
      <c r="AR443" s="43">
        <v>190.43</v>
      </c>
      <c r="AS443" s="39" t="s">
        <v>547</v>
      </c>
      <c r="AT443" s="39" t="s">
        <v>539</v>
      </c>
      <c r="AU443" s="1">
        <v>124588.459727095</v>
      </c>
    </row>
    <row r="444" spans="2:47" ht="18" customHeight="1" x14ac:dyDescent="0.25">
      <c r="B444" s="2">
        <f>IF(G444=$B$6,MAX(B$7:B443)+1,IF($B$6="Nifty 500 - All Sector",B443+1,0))</f>
        <v>0</v>
      </c>
      <c r="C444" s="36">
        <v>2629</v>
      </c>
      <c r="D444" s="36" t="s">
        <v>463</v>
      </c>
      <c r="E444" s="36" t="s">
        <v>527</v>
      </c>
      <c r="F444" s="36" t="s">
        <v>996</v>
      </c>
      <c r="G444" s="36" t="s">
        <v>600</v>
      </c>
      <c r="H444" s="36" t="s">
        <v>535</v>
      </c>
      <c r="I444" s="37" t="s">
        <v>540</v>
      </c>
      <c r="J444" s="38">
        <v>7196.3</v>
      </c>
      <c r="K444" s="39">
        <v>503.05874465767192</v>
      </c>
      <c r="L444" s="39">
        <v>42.273352734634486</v>
      </c>
      <c r="M444" s="38" t="s">
        <v>539</v>
      </c>
      <c r="N444" s="38">
        <v>1193.3000000000002</v>
      </c>
      <c r="O444" s="38">
        <v>5058.08</v>
      </c>
      <c r="P444" s="39" t="s">
        <v>540</v>
      </c>
      <c r="Q444" s="39" t="s">
        <v>540</v>
      </c>
      <c r="R444" s="40"/>
      <c r="S444" s="38" t="s">
        <v>539</v>
      </c>
      <c r="T444" s="39" t="s">
        <v>540</v>
      </c>
      <c r="U444" s="39" t="s">
        <v>540</v>
      </c>
      <c r="V444" s="38" t="s">
        <v>539</v>
      </c>
      <c r="W444" s="38">
        <v>261.10000000000002</v>
      </c>
      <c r="X444" s="38">
        <v>1759.21</v>
      </c>
      <c r="Y444" s="39" t="s">
        <v>540</v>
      </c>
      <c r="Z444" s="39" t="s">
        <v>540</v>
      </c>
      <c r="AA444" s="41" t="s">
        <v>540</v>
      </c>
      <c r="AB444" s="42" t="s">
        <v>540</v>
      </c>
      <c r="AC444" s="40"/>
      <c r="AD444" s="43" t="s">
        <v>540</v>
      </c>
      <c r="AE444" s="39" t="s">
        <v>539</v>
      </c>
      <c r="AF444" s="39" t="s">
        <v>539</v>
      </c>
      <c r="AG444" s="43" t="s">
        <v>539</v>
      </c>
      <c r="AH444" s="43">
        <v>201.88</v>
      </c>
      <c r="AI444" s="43">
        <v>1091.51</v>
      </c>
      <c r="AJ444" s="39" t="s">
        <v>539</v>
      </c>
      <c r="AK444" s="39" t="s">
        <v>539</v>
      </c>
      <c r="AL444" s="44"/>
      <c r="AM444" s="43" t="s">
        <v>539</v>
      </c>
      <c r="AN444" s="39" t="s">
        <v>539</v>
      </c>
      <c r="AO444" s="39" t="s">
        <v>539</v>
      </c>
      <c r="AP444" s="43" t="s">
        <v>539</v>
      </c>
      <c r="AQ444" s="43">
        <v>201.88</v>
      </c>
      <c r="AR444" s="43">
        <v>1047.3900000000001</v>
      </c>
      <c r="AS444" s="39" t="s">
        <v>539</v>
      </c>
      <c r="AT444" s="39" t="s">
        <v>539</v>
      </c>
      <c r="AU444" s="1">
        <v>85087.477454720007</v>
      </c>
    </row>
    <row r="445" spans="2:47" ht="18" customHeight="1" x14ac:dyDescent="0.25">
      <c r="B445" s="2">
        <f>IF(G445=$B$6,MAX(B$7:B444)+1,IF($B$6="Nifty 500 - All Sector",B444+1,0))</f>
        <v>0</v>
      </c>
      <c r="C445" s="36">
        <v>2304</v>
      </c>
      <c r="D445" s="36" t="s">
        <v>464</v>
      </c>
      <c r="E445" s="36" t="s">
        <v>533</v>
      </c>
      <c r="F445" s="36" t="s">
        <v>997</v>
      </c>
      <c r="G445" s="36" t="s">
        <v>600</v>
      </c>
      <c r="H445" s="36" t="s">
        <v>535</v>
      </c>
      <c r="I445" s="37" t="s">
        <v>540</v>
      </c>
      <c r="J445" s="38">
        <v>5076.6000000000004</v>
      </c>
      <c r="K445" s="39">
        <v>-3.6301475180482212</v>
      </c>
      <c r="L445" s="39">
        <v>7.3061435863833069</v>
      </c>
      <c r="M445" s="38" t="s">
        <v>539</v>
      </c>
      <c r="N445" s="38">
        <v>5267.83</v>
      </c>
      <c r="O445" s="38">
        <v>4730.95</v>
      </c>
      <c r="P445" s="39" t="s">
        <v>540</v>
      </c>
      <c r="Q445" s="39" t="s">
        <v>540</v>
      </c>
      <c r="R445" s="40"/>
      <c r="S445" s="38">
        <v>2428.625</v>
      </c>
      <c r="T445" s="39">
        <v>47.839597368317378</v>
      </c>
      <c r="U445" s="39">
        <v>-443.77160605518213</v>
      </c>
      <c r="V445" s="38" t="s">
        <v>539</v>
      </c>
      <c r="W445" s="38">
        <v>2753.88</v>
      </c>
      <c r="X445" s="38">
        <v>2179.2800000000002</v>
      </c>
      <c r="Y445" s="39" t="s">
        <v>540</v>
      </c>
      <c r="Z445" s="39" t="s">
        <v>540</v>
      </c>
      <c r="AA445" s="41" t="s">
        <v>540</v>
      </c>
      <c r="AB445" s="42" t="s">
        <v>540</v>
      </c>
      <c r="AC445" s="40"/>
      <c r="AD445" s="43">
        <v>1590.95</v>
      </c>
      <c r="AE445" s="39">
        <v>-23.452032121325839</v>
      </c>
      <c r="AF445" s="39">
        <v>-0.62897402905647271</v>
      </c>
      <c r="AG445" s="43" t="s">
        <v>539</v>
      </c>
      <c r="AH445" s="43">
        <v>2078.37</v>
      </c>
      <c r="AI445" s="43">
        <v>1601.02</v>
      </c>
      <c r="AJ445" s="39" t="s">
        <v>539</v>
      </c>
      <c r="AK445" s="39" t="s">
        <v>539</v>
      </c>
      <c r="AL445" s="44"/>
      <c r="AM445" s="43">
        <v>1590.95</v>
      </c>
      <c r="AN445" s="39">
        <v>-23.452032121325839</v>
      </c>
      <c r="AO445" s="39">
        <v>-0.62897402905647271</v>
      </c>
      <c r="AP445" s="43" t="s">
        <v>539</v>
      </c>
      <c r="AQ445" s="43">
        <v>2078.37</v>
      </c>
      <c r="AR445" s="43">
        <v>1601.02</v>
      </c>
      <c r="AS445" s="39" t="s">
        <v>539</v>
      </c>
      <c r="AT445" s="39" t="s">
        <v>539</v>
      </c>
      <c r="AU445" s="1">
        <v>77827.271974125004</v>
      </c>
    </row>
    <row r="446" spans="2:47" ht="18" customHeight="1" x14ac:dyDescent="0.25">
      <c r="B446" s="2">
        <f>IF(G446=$B$6,MAX(B$7:B445)+1,IF($B$6="Nifty 500 - All Sector",B445+1,0))</f>
        <v>0</v>
      </c>
      <c r="C446" s="36">
        <v>12059</v>
      </c>
      <c r="D446" s="36" t="s">
        <v>465</v>
      </c>
      <c r="E446" s="36" t="s">
        <v>527</v>
      </c>
      <c r="F446" s="36" t="s">
        <v>998</v>
      </c>
      <c r="G446" s="36" t="s">
        <v>600</v>
      </c>
      <c r="H446" s="36" t="s">
        <v>535</v>
      </c>
      <c r="I446" s="37" t="s">
        <v>540</v>
      </c>
      <c r="J446" s="38">
        <v>7814.6</v>
      </c>
      <c r="K446" s="39">
        <v>11.56398875594431</v>
      </c>
      <c r="L446" s="39">
        <v>2.6779086008154263</v>
      </c>
      <c r="M446" s="38" t="s">
        <v>539</v>
      </c>
      <c r="N446" s="38">
        <v>7004.59</v>
      </c>
      <c r="O446" s="38">
        <v>7610.79</v>
      </c>
      <c r="P446" s="39" t="s">
        <v>540</v>
      </c>
      <c r="Q446" s="39" t="s">
        <v>540</v>
      </c>
      <c r="R446" s="40"/>
      <c r="S446" s="38">
        <v>2709.3666666666668</v>
      </c>
      <c r="T446" s="39">
        <v>34.670573883073565</v>
      </c>
      <c r="U446" s="39">
        <v>538.82033231978244</v>
      </c>
      <c r="V446" s="38" t="s">
        <v>539</v>
      </c>
      <c r="W446" s="38">
        <v>2051.11</v>
      </c>
      <c r="X446" s="38">
        <v>2144.1799999999998</v>
      </c>
      <c r="Y446" s="39" t="s">
        <v>540</v>
      </c>
      <c r="Z446" s="39" t="s">
        <v>540</v>
      </c>
      <c r="AA446" s="41" t="s">
        <v>540</v>
      </c>
      <c r="AB446" s="42" t="s">
        <v>540</v>
      </c>
      <c r="AC446" s="40"/>
      <c r="AD446" s="43">
        <v>2182.3332999999998</v>
      </c>
      <c r="AE446" s="39">
        <v>47.119956585342827</v>
      </c>
      <c r="AF446" s="39">
        <v>24.908181896230985</v>
      </c>
      <c r="AG446" s="43" t="s">
        <v>539</v>
      </c>
      <c r="AH446" s="43">
        <v>1483.37</v>
      </c>
      <c r="AI446" s="43">
        <v>1747.15</v>
      </c>
      <c r="AJ446" s="39" t="s">
        <v>539</v>
      </c>
      <c r="AK446" s="39" t="s">
        <v>539</v>
      </c>
      <c r="AL446" s="44"/>
      <c r="AM446" s="43">
        <v>2182.3332999999998</v>
      </c>
      <c r="AN446" s="39">
        <v>47.686461209463474</v>
      </c>
      <c r="AO446" s="39">
        <v>24.236919258335753</v>
      </c>
      <c r="AP446" s="43" t="s">
        <v>539</v>
      </c>
      <c r="AQ446" s="43">
        <v>1477.68</v>
      </c>
      <c r="AR446" s="43">
        <v>1756.59</v>
      </c>
      <c r="AS446" s="39" t="s">
        <v>539</v>
      </c>
      <c r="AT446" s="39" t="s">
        <v>539</v>
      </c>
      <c r="AU446" s="1">
        <v>76708.608123750004</v>
      </c>
    </row>
    <row r="447" spans="2:47" ht="18" customHeight="1" x14ac:dyDescent="0.25">
      <c r="B447" s="2">
        <f>IF(G447=$B$6,MAX(B$7:B446)+1,IF($B$6="Nifty 500 - All Sector",B446+1,0))</f>
        <v>0</v>
      </c>
      <c r="C447" s="36">
        <v>2299</v>
      </c>
      <c r="D447" s="36" t="s">
        <v>466</v>
      </c>
      <c r="E447" s="36" t="s">
        <v>533</v>
      </c>
      <c r="F447" s="36" t="s">
        <v>999</v>
      </c>
      <c r="G447" s="36" t="s">
        <v>600</v>
      </c>
      <c r="H447" s="36" t="s">
        <v>535</v>
      </c>
      <c r="I447" s="37" t="s">
        <v>540</v>
      </c>
      <c r="J447" s="38">
        <v>31534.612499999999</v>
      </c>
      <c r="K447" s="39">
        <v>7.5676301197158624</v>
      </c>
      <c r="L447" s="39">
        <v>15.210124513223477</v>
      </c>
      <c r="M447" s="38" t="s">
        <v>539</v>
      </c>
      <c r="N447" s="38">
        <v>29316.080000000002</v>
      </c>
      <c r="O447" s="38">
        <v>27371.39</v>
      </c>
      <c r="P447" s="39" t="s">
        <v>540</v>
      </c>
      <c r="Q447" s="39" t="s">
        <v>540</v>
      </c>
      <c r="R447" s="40"/>
      <c r="S447" s="38">
        <v>3935.3111111111116</v>
      </c>
      <c r="T447" s="39">
        <v>12.479338730136961</v>
      </c>
      <c r="U447" s="39">
        <v>60.633251648220288</v>
      </c>
      <c r="V447" s="38" t="s">
        <v>539</v>
      </c>
      <c r="W447" s="38">
        <v>3480.7</v>
      </c>
      <c r="X447" s="38">
        <v>2298.39</v>
      </c>
      <c r="Y447" s="39" t="s">
        <v>540</v>
      </c>
      <c r="Z447" s="39" t="s">
        <v>540</v>
      </c>
      <c r="AA447" s="41" t="s">
        <v>540</v>
      </c>
      <c r="AB447" s="42" t="s">
        <v>540</v>
      </c>
      <c r="AC447" s="40"/>
      <c r="AD447" s="43">
        <v>1604.9</v>
      </c>
      <c r="AE447" s="39">
        <v>36.244015076912639</v>
      </c>
      <c r="AF447" s="39">
        <v>263.34616255377034</v>
      </c>
      <c r="AG447" s="43" t="s">
        <v>539</v>
      </c>
      <c r="AH447" s="43">
        <v>1177.96</v>
      </c>
      <c r="AI447" s="43">
        <v>441.69999999999902</v>
      </c>
      <c r="AJ447" s="39" t="s">
        <v>539</v>
      </c>
      <c r="AK447" s="39" t="s">
        <v>539</v>
      </c>
      <c r="AL447" s="44"/>
      <c r="AM447" s="43">
        <v>1604.9</v>
      </c>
      <c r="AN447" s="39">
        <v>36.244015076912639</v>
      </c>
      <c r="AO447" s="39">
        <v>263.34616255377034</v>
      </c>
      <c r="AP447" s="43" t="s">
        <v>539</v>
      </c>
      <c r="AQ447" s="43">
        <v>1177.96</v>
      </c>
      <c r="AR447" s="43">
        <v>441.69999999999902</v>
      </c>
      <c r="AS447" s="39" t="s">
        <v>539</v>
      </c>
      <c r="AT447" s="39" t="s">
        <v>539</v>
      </c>
      <c r="AU447" s="1">
        <v>68938.467073409993</v>
      </c>
    </row>
    <row r="448" spans="2:47" ht="18" customHeight="1" x14ac:dyDescent="0.25">
      <c r="B448" s="2">
        <f>IF(G448=$B$6,MAX(B$7:B447)+1,IF($B$6="Nifty 500 - All Sector",B447+1,0))</f>
        <v>0</v>
      </c>
      <c r="C448" s="36">
        <v>3898</v>
      </c>
      <c r="D448" s="36" t="s">
        <v>467</v>
      </c>
      <c r="E448" s="36" t="s">
        <v>527</v>
      </c>
      <c r="F448" s="36" t="s">
        <v>1000</v>
      </c>
      <c r="G448" s="36" t="s">
        <v>600</v>
      </c>
      <c r="H448" s="36" t="s">
        <v>529</v>
      </c>
      <c r="I448" s="37" t="s">
        <v>540</v>
      </c>
      <c r="J448" s="38" t="s">
        <v>539</v>
      </c>
      <c r="K448" s="39" t="s">
        <v>540</v>
      </c>
      <c r="L448" s="39" t="s">
        <v>540</v>
      </c>
      <c r="M448" s="38" t="s">
        <v>539</v>
      </c>
      <c r="N448" s="38">
        <v>731.4</v>
      </c>
      <c r="O448" s="38">
        <v>687.34</v>
      </c>
      <c r="P448" s="39" t="s">
        <v>540</v>
      </c>
      <c r="Q448" s="39" t="s">
        <v>540</v>
      </c>
      <c r="R448" s="40"/>
      <c r="S448" s="38" t="s">
        <v>539</v>
      </c>
      <c r="T448" s="39" t="s">
        <v>540</v>
      </c>
      <c r="U448" s="39" t="s">
        <v>540</v>
      </c>
      <c r="V448" s="38" t="s">
        <v>539</v>
      </c>
      <c r="W448" s="38">
        <v>266.7</v>
      </c>
      <c r="X448" s="38">
        <v>244.52</v>
      </c>
      <c r="Y448" s="39" t="s">
        <v>540</v>
      </c>
      <c r="Z448" s="39" t="s">
        <v>540</v>
      </c>
      <c r="AA448" s="41" t="s">
        <v>540</v>
      </c>
      <c r="AB448" s="42" t="s">
        <v>540</v>
      </c>
      <c r="AC448" s="40"/>
      <c r="AD448" s="43" t="s">
        <v>540</v>
      </c>
      <c r="AE448" s="39" t="s">
        <v>539</v>
      </c>
      <c r="AF448" s="39" t="s">
        <v>539</v>
      </c>
      <c r="AG448" s="43" t="s">
        <v>539</v>
      </c>
      <c r="AH448" s="43">
        <v>189.48</v>
      </c>
      <c r="AI448" s="43">
        <v>156.30000000000001</v>
      </c>
      <c r="AJ448" s="39" t="s">
        <v>539</v>
      </c>
      <c r="AK448" s="39" t="s">
        <v>539</v>
      </c>
      <c r="AL448" s="44"/>
      <c r="AM448" s="43" t="s">
        <v>539</v>
      </c>
      <c r="AN448" s="39" t="s">
        <v>539</v>
      </c>
      <c r="AO448" s="39" t="s">
        <v>539</v>
      </c>
      <c r="AP448" s="43" t="s">
        <v>539</v>
      </c>
      <c r="AQ448" s="43">
        <v>187.18</v>
      </c>
      <c r="AR448" s="43">
        <v>156.22999999999999</v>
      </c>
      <c r="AS448" s="39" t="s">
        <v>539</v>
      </c>
      <c r="AT448" s="39" t="s">
        <v>539</v>
      </c>
      <c r="AU448" s="1">
        <v>53046.102617099998</v>
      </c>
    </row>
    <row r="449" spans="2:47" ht="18" customHeight="1" x14ac:dyDescent="0.25">
      <c r="B449" s="2">
        <f>IF(G449=$B$6,MAX(B$7:B448)+1,IF($B$6="Nifty 500 - All Sector",B448+1,0))</f>
        <v>0</v>
      </c>
      <c r="C449" s="36">
        <v>7947</v>
      </c>
      <c r="D449" s="36" t="s">
        <v>468</v>
      </c>
      <c r="E449" s="36" t="s">
        <v>527</v>
      </c>
      <c r="F449" s="36" t="s">
        <v>1001</v>
      </c>
      <c r="G449" s="36" t="s">
        <v>600</v>
      </c>
      <c r="H449" s="36" t="s">
        <v>529</v>
      </c>
      <c r="I449" s="37" t="s">
        <v>540</v>
      </c>
      <c r="J449" s="38">
        <v>4876.0333333333338</v>
      </c>
      <c r="K449" s="39">
        <v>24.231098157013541</v>
      </c>
      <c r="L449" s="39">
        <v>7.5798091405441248</v>
      </c>
      <c r="M449" s="38" t="s">
        <v>539</v>
      </c>
      <c r="N449" s="38">
        <v>3924.97</v>
      </c>
      <c r="O449" s="38">
        <v>4532.4799999999996</v>
      </c>
      <c r="P449" s="39" t="s">
        <v>540</v>
      </c>
      <c r="Q449" s="39" t="s">
        <v>540</v>
      </c>
      <c r="R449" s="40"/>
      <c r="S449" s="38">
        <v>597.5333333333333</v>
      </c>
      <c r="T449" s="39">
        <v>12.254496482796808</v>
      </c>
      <c r="U449" s="39">
        <v>53.007565919815569</v>
      </c>
      <c r="V449" s="38" t="s">
        <v>539</v>
      </c>
      <c r="W449" s="38">
        <v>460.18</v>
      </c>
      <c r="X449" s="38">
        <v>615.73</v>
      </c>
      <c r="Y449" s="39" t="s">
        <v>540</v>
      </c>
      <c r="Z449" s="39" t="s">
        <v>540</v>
      </c>
      <c r="AA449" s="41" t="s">
        <v>540</v>
      </c>
      <c r="AB449" s="42" t="s">
        <v>540</v>
      </c>
      <c r="AC449" s="40"/>
      <c r="AD449" s="43">
        <v>418.35</v>
      </c>
      <c r="AE449" s="39">
        <v>-35.439814814814916</v>
      </c>
      <c r="AF449" s="39">
        <v>14.462775999343357</v>
      </c>
      <c r="AG449" s="43" t="s">
        <v>539</v>
      </c>
      <c r="AH449" s="43">
        <v>648.00000000000102</v>
      </c>
      <c r="AI449" s="43">
        <v>365.49</v>
      </c>
      <c r="AJ449" s="39" t="s">
        <v>539</v>
      </c>
      <c r="AK449" s="39" t="s">
        <v>539</v>
      </c>
      <c r="AL449" s="44"/>
      <c r="AM449" s="43">
        <v>418.35</v>
      </c>
      <c r="AN449" s="39">
        <v>-40.091077028826724</v>
      </c>
      <c r="AO449" s="39">
        <v>-7.5653461190039462</v>
      </c>
      <c r="AP449" s="43" t="s">
        <v>539</v>
      </c>
      <c r="AQ449" s="43">
        <v>698.31</v>
      </c>
      <c r="AR449" s="43">
        <v>452.59</v>
      </c>
      <c r="AS449" s="39" t="s">
        <v>539</v>
      </c>
      <c r="AT449" s="39" t="s">
        <v>539</v>
      </c>
      <c r="AU449" s="1">
        <v>27766.603292700001</v>
      </c>
    </row>
    <row r="450" spans="2:47" ht="18" customHeight="1" x14ac:dyDescent="0.25">
      <c r="B450" s="2">
        <f>IF(G450=$B$6,MAX(B$7:B449)+1,IF($B$6="Nifty 500 - All Sector",B449+1,0))</f>
        <v>0</v>
      </c>
      <c r="C450" s="36">
        <v>45268</v>
      </c>
      <c r="D450" s="36" t="s">
        <v>469</v>
      </c>
      <c r="E450" s="36" t="s">
        <v>527</v>
      </c>
      <c r="F450" s="36" t="s">
        <v>1002</v>
      </c>
      <c r="G450" s="36" t="s">
        <v>600</v>
      </c>
      <c r="H450" s="36" t="s">
        <v>529</v>
      </c>
      <c r="I450" s="37" t="s">
        <v>540</v>
      </c>
      <c r="J450" s="38">
        <v>5094.6000000000004</v>
      </c>
      <c r="K450" s="39">
        <v>23.076997410227683</v>
      </c>
      <c r="L450" s="39">
        <v>15.224382896147425</v>
      </c>
      <c r="M450" s="38" t="s">
        <v>539</v>
      </c>
      <c r="N450" s="38">
        <v>4139.3599999999997</v>
      </c>
      <c r="O450" s="38">
        <v>4421.46</v>
      </c>
      <c r="P450" s="39" t="s">
        <v>540</v>
      </c>
      <c r="Q450" s="39" t="s">
        <v>540</v>
      </c>
      <c r="R450" s="40"/>
      <c r="S450" s="38">
        <v>628.5333333333333</v>
      </c>
      <c r="T450" s="39">
        <v>12.337245972860151</v>
      </c>
      <c r="U450" s="39">
        <v>-8.2065225006187958</v>
      </c>
      <c r="V450" s="38" t="s">
        <v>539</v>
      </c>
      <c r="W450" s="38">
        <v>514.08000000000004</v>
      </c>
      <c r="X450" s="38">
        <v>487.11</v>
      </c>
      <c r="Y450" s="39" t="s">
        <v>540</v>
      </c>
      <c r="Z450" s="39" t="s">
        <v>540</v>
      </c>
      <c r="AA450" s="41" t="s">
        <v>540</v>
      </c>
      <c r="AB450" s="42" t="s">
        <v>540</v>
      </c>
      <c r="AC450" s="40"/>
      <c r="AD450" s="43">
        <v>309.17500000000001</v>
      </c>
      <c r="AE450" s="39">
        <v>40.451097078998785</v>
      </c>
      <c r="AF450" s="39">
        <v>56.568086291588607</v>
      </c>
      <c r="AG450" s="43" t="s">
        <v>539</v>
      </c>
      <c r="AH450" s="43">
        <v>220.13</v>
      </c>
      <c r="AI450" s="43">
        <v>197.47</v>
      </c>
      <c r="AJ450" s="39" t="s">
        <v>539</v>
      </c>
      <c r="AK450" s="39" t="s">
        <v>539</v>
      </c>
      <c r="AL450" s="44"/>
      <c r="AM450" s="43">
        <v>309.17500000000001</v>
      </c>
      <c r="AN450" s="39">
        <v>41.337142857142872</v>
      </c>
      <c r="AO450" s="39">
        <v>56.750659095518152</v>
      </c>
      <c r="AP450" s="43" t="s">
        <v>539</v>
      </c>
      <c r="AQ450" s="43">
        <v>218.75</v>
      </c>
      <c r="AR450" s="43">
        <v>197.24</v>
      </c>
      <c r="AS450" s="39" t="s">
        <v>539</v>
      </c>
      <c r="AT450" s="39" t="s">
        <v>539</v>
      </c>
      <c r="AU450" s="1">
        <v>24037.439521094999</v>
      </c>
    </row>
    <row r="451" spans="2:47" ht="18" customHeight="1" x14ac:dyDescent="0.25">
      <c r="B451" s="2">
        <f>IF(G451=$B$6,MAX(B$7:B450)+1,IF($B$6="Nifty 500 - All Sector",B450+1,0))</f>
        <v>0</v>
      </c>
      <c r="C451" s="36">
        <v>13868</v>
      </c>
      <c r="D451" s="36" t="s">
        <v>470</v>
      </c>
      <c r="E451" s="36" t="s">
        <v>533</v>
      </c>
      <c r="F451" s="36" t="s">
        <v>1003</v>
      </c>
      <c r="G451" s="36" t="s">
        <v>600</v>
      </c>
      <c r="H451" s="36" t="s">
        <v>529</v>
      </c>
      <c r="I451" s="37" t="s">
        <v>540</v>
      </c>
      <c r="J451" s="38">
        <v>883.3</v>
      </c>
      <c r="K451" s="39">
        <v>12.337687112897267</v>
      </c>
      <c r="L451" s="39">
        <v>52.516619183285854</v>
      </c>
      <c r="M451" s="38" t="s">
        <v>539</v>
      </c>
      <c r="N451" s="38">
        <v>786.29</v>
      </c>
      <c r="O451" s="38">
        <v>579.15</v>
      </c>
      <c r="P451" s="39" t="s">
        <v>540</v>
      </c>
      <c r="Q451" s="39" t="s">
        <v>540</v>
      </c>
      <c r="R451" s="40"/>
      <c r="S451" s="38">
        <v>193.7</v>
      </c>
      <c r="T451" s="39">
        <v>21.929129401109478</v>
      </c>
      <c r="U451" s="39">
        <v>-273.60704615366205</v>
      </c>
      <c r="V451" s="38" t="s">
        <v>539</v>
      </c>
      <c r="W451" s="38">
        <v>193.94</v>
      </c>
      <c r="X451" s="38">
        <v>103.08</v>
      </c>
      <c r="Y451" s="39" t="s">
        <v>540</v>
      </c>
      <c r="Z451" s="39" t="s">
        <v>540</v>
      </c>
      <c r="AA451" s="41" t="s">
        <v>540</v>
      </c>
      <c r="AB451" s="42" t="s">
        <v>540</v>
      </c>
      <c r="AC451" s="40"/>
      <c r="AD451" s="43">
        <v>203.6</v>
      </c>
      <c r="AE451" s="39">
        <v>-9.6676871201029293</v>
      </c>
      <c r="AF451" s="39">
        <v>50.647428782833884</v>
      </c>
      <c r="AG451" s="43" t="s">
        <v>539</v>
      </c>
      <c r="AH451" s="43">
        <v>225.39</v>
      </c>
      <c r="AI451" s="43">
        <v>135.15</v>
      </c>
      <c r="AJ451" s="39" t="s">
        <v>539</v>
      </c>
      <c r="AK451" s="39" t="s">
        <v>539</v>
      </c>
      <c r="AL451" s="44"/>
      <c r="AM451" s="43">
        <v>203.6</v>
      </c>
      <c r="AN451" s="39">
        <v>-9.6676871201029293</v>
      </c>
      <c r="AO451" s="39">
        <v>50.647428782833884</v>
      </c>
      <c r="AP451" s="43" t="s">
        <v>539</v>
      </c>
      <c r="AQ451" s="43">
        <v>225.39</v>
      </c>
      <c r="AR451" s="43">
        <v>135.15</v>
      </c>
      <c r="AS451" s="39" t="s">
        <v>539</v>
      </c>
      <c r="AT451" s="39" t="s">
        <v>539</v>
      </c>
      <c r="AU451" s="1">
        <v>19795.5</v>
      </c>
    </row>
    <row r="452" spans="2:47" ht="18" customHeight="1" x14ac:dyDescent="0.25">
      <c r="B452" s="2">
        <f>IF(G452=$B$6,MAX(B$7:B451)+1,IF($B$6="Nifty 500 - All Sector",B451+1,0))</f>
        <v>0</v>
      </c>
      <c r="C452" s="36">
        <v>1140</v>
      </c>
      <c r="D452" s="36" t="s">
        <v>471</v>
      </c>
      <c r="E452" s="36" t="s">
        <v>527</v>
      </c>
      <c r="F452" s="36" t="s">
        <v>1004</v>
      </c>
      <c r="G452" s="36" t="s">
        <v>600</v>
      </c>
      <c r="H452" s="36" t="s">
        <v>529</v>
      </c>
      <c r="I452" s="37" t="s">
        <v>540</v>
      </c>
      <c r="J452" s="38" t="s">
        <v>539</v>
      </c>
      <c r="K452" s="39" t="s">
        <v>540</v>
      </c>
      <c r="L452" s="39" t="s">
        <v>540</v>
      </c>
      <c r="M452" s="38" t="s">
        <v>539</v>
      </c>
      <c r="N452" s="38">
        <v>1238.8399999999999</v>
      </c>
      <c r="O452" s="38">
        <v>1275.9899999999998</v>
      </c>
      <c r="P452" s="39" t="s">
        <v>540</v>
      </c>
      <c r="Q452" s="39" t="s">
        <v>540</v>
      </c>
      <c r="R452" s="40"/>
      <c r="S452" s="38" t="s">
        <v>539</v>
      </c>
      <c r="T452" s="39" t="s">
        <v>540</v>
      </c>
      <c r="U452" s="39" t="s">
        <v>540</v>
      </c>
      <c r="V452" s="38" t="s">
        <v>539</v>
      </c>
      <c r="W452" s="38">
        <v>270.60000000000002</v>
      </c>
      <c r="X452" s="38">
        <v>310.83</v>
      </c>
      <c r="Y452" s="39" t="s">
        <v>540</v>
      </c>
      <c r="Z452" s="39" t="s">
        <v>540</v>
      </c>
      <c r="AA452" s="41" t="s">
        <v>540</v>
      </c>
      <c r="AB452" s="42" t="s">
        <v>540</v>
      </c>
      <c r="AC452" s="40"/>
      <c r="AD452" s="43" t="s">
        <v>540</v>
      </c>
      <c r="AE452" s="39" t="s">
        <v>539</v>
      </c>
      <c r="AF452" s="39" t="s">
        <v>539</v>
      </c>
      <c r="AG452" s="43" t="s">
        <v>539</v>
      </c>
      <c r="AH452" s="43">
        <v>94.53</v>
      </c>
      <c r="AI452" s="43">
        <v>183.84</v>
      </c>
      <c r="AJ452" s="39" t="s">
        <v>539</v>
      </c>
      <c r="AK452" s="39" t="s">
        <v>539</v>
      </c>
      <c r="AL452" s="44"/>
      <c r="AM452" s="43" t="s">
        <v>539</v>
      </c>
      <c r="AN452" s="39" t="s">
        <v>539</v>
      </c>
      <c r="AO452" s="39" t="s">
        <v>539</v>
      </c>
      <c r="AP452" s="43" t="s">
        <v>539</v>
      </c>
      <c r="AQ452" s="43">
        <v>108.29</v>
      </c>
      <c r="AR452" s="43">
        <v>190.37</v>
      </c>
      <c r="AS452" s="39" t="s">
        <v>539</v>
      </c>
      <c r="AT452" s="39" t="s">
        <v>539</v>
      </c>
      <c r="AU452" s="1">
        <v>20550.875666399999</v>
      </c>
    </row>
    <row r="453" spans="2:47" ht="18" customHeight="1" x14ac:dyDescent="0.25">
      <c r="B453" s="2">
        <f>IF(G453=$B$6,MAX(B$7:B452)+1,IF($B$6="Nifty 500 - All Sector",B452+1,0))</f>
        <v>0</v>
      </c>
      <c r="C453" s="36">
        <v>26838</v>
      </c>
      <c r="D453" s="36" t="s">
        <v>472</v>
      </c>
      <c r="E453" s="36" t="s">
        <v>527</v>
      </c>
      <c r="F453" s="36" t="s">
        <v>1005</v>
      </c>
      <c r="G453" s="36" t="s">
        <v>600</v>
      </c>
      <c r="H453" s="36" t="s">
        <v>529</v>
      </c>
      <c r="I453" s="37" t="s">
        <v>540</v>
      </c>
      <c r="J453" s="38">
        <v>155.6</v>
      </c>
      <c r="K453" s="39">
        <v>-89.401122554629183</v>
      </c>
      <c r="L453" s="39">
        <v>-86.344288911316866</v>
      </c>
      <c r="M453" s="38" t="s">
        <v>539</v>
      </c>
      <c r="N453" s="38">
        <v>1468.08</v>
      </c>
      <c r="O453" s="38">
        <v>1139.45</v>
      </c>
      <c r="P453" s="39" t="s">
        <v>540</v>
      </c>
      <c r="Q453" s="39" t="s">
        <v>540</v>
      </c>
      <c r="R453" s="40"/>
      <c r="S453" s="38">
        <v>31.7</v>
      </c>
      <c r="T453" s="39">
        <v>20.372750642673523</v>
      </c>
      <c r="U453" s="39">
        <v>-130.93102804369357</v>
      </c>
      <c r="V453" s="38" t="s">
        <v>539</v>
      </c>
      <c r="W453" s="38">
        <v>318.31</v>
      </c>
      <c r="X453" s="38">
        <v>229.84</v>
      </c>
      <c r="Y453" s="39" t="s">
        <v>540</v>
      </c>
      <c r="Z453" s="39" t="s">
        <v>540</v>
      </c>
      <c r="AA453" s="41" t="s">
        <v>540</v>
      </c>
      <c r="AB453" s="42" t="s">
        <v>540</v>
      </c>
      <c r="AC453" s="40"/>
      <c r="AD453" s="43" t="s">
        <v>540</v>
      </c>
      <c r="AE453" s="39" t="s">
        <v>539</v>
      </c>
      <c r="AF453" s="39" t="s">
        <v>539</v>
      </c>
      <c r="AG453" s="43" t="s">
        <v>539</v>
      </c>
      <c r="AH453" s="43">
        <v>214.17</v>
      </c>
      <c r="AI453" s="43">
        <v>155.35</v>
      </c>
      <c r="AJ453" s="39" t="s">
        <v>539</v>
      </c>
      <c r="AK453" s="39" t="s">
        <v>539</v>
      </c>
      <c r="AL453" s="44"/>
      <c r="AM453" s="43" t="s">
        <v>539</v>
      </c>
      <c r="AN453" s="39" t="s">
        <v>539</v>
      </c>
      <c r="AO453" s="39" t="s">
        <v>539</v>
      </c>
      <c r="AP453" s="43" t="s">
        <v>539</v>
      </c>
      <c r="AQ453" s="43">
        <v>221.26</v>
      </c>
      <c r="AR453" s="43">
        <v>143.25</v>
      </c>
      <c r="AS453" s="39" t="s">
        <v>539</v>
      </c>
      <c r="AT453" s="39" t="s">
        <v>539</v>
      </c>
      <c r="AU453" s="1">
        <v>20369.2113694</v>
      </c>
    </row>
    <row r="454" spans="2:47" ht="18" customHeight="1" x14ac:dyDescent="0.25">
      <c r="B454" s="2">
        <f>IF(G454=$B$6,MAX(B$7:B453)+1,IF($B$6="Nifty 500 - All Sector",B453+1,0))</f>
        <v>0</v>
      </c>
      <c r="C454" s="36">
        <v>94655</v>
      </c>
      <c r="D454" s="36" t="s">
        <v>473</v>
      </c>
      <c r="E454" s="36" t="s">
        <v>527</v>
      </c>
      <c r="F454" s="36" t="s">
        <v>1006</v>
      </c>
      <c r="G454" s="36" t="s">
        <v>600</v>
      </c>
      <c r="H454" s="36" t="s">
        <v>529</v>
      </c>
      <c r="I454" s="37" t="s">
        <v>540</v>
      </c>
      <c r="J454" s="38">
        <v>2873.5</v>
      </c>
      <c r="K454" s="39" t="s">
        <v>540</v>
      </c>
      <c r="L454" s="39">
        <v>3.5430571200220307</v>
      </c>
      <c r="M454" s="38" t="s">
        <v>539</v>
      </c>
      <c r="N454" s="38">
        <v>0</v>
      </c>
      <c r="O454" s="38">
        <v>2775.174</v>
      </c>
      <c r="P454" s="39" t="s">
        <v>540</v>
      </c>
      <c r="Q454" s="39" t="s">
        <v>540</v>
      </c>
      <c r="R454" s="40"/>
      <c r="S454" s="38">
        <v>209.7</v>
      </c>
      <c r="T454" s="39">
        <v>7.2977205498520963</v>
      </c>
      <c r="U454" s="39" t="s">
        <v>540</v>
      </c>
      <c r="V454" s="38" t="s">
        <v>539</v>
      </c>
      <c r="W454" s="38" t="s">
        <v>540</v>
      </c>
      <c r="X454" s="38">
        <v>198.87299999999999</v>
      </c>
      <c r="Y454" s="39" t="s">
        <v>540</v>
      </c>
      <c r="Z454" s="39" t="s">
        <v>540</v>
      </c>
      <c r="AA454" s="41" t="s">
        <v>540</v>
      </c>
      <c r="AB454" s="42" t="s">
        <v>540</v>
      </c>
      <c r="AC454" s="40"/>
      <c r="AD454" s="43">
        <v>154.1</v>
      </c>
      <c r="AE454" s="39" t="s">
        <v>539</v>
      </c>
      <c r="AF454" s="39">
        <v>18.752215526409088</v>
      </c>
      <c r="AG454" s="43" t="s">
        <v>539</v>
      </c>
      <c r="AH454" s="43">
        <v>0</v>
      </c>
      <c r="AI454" s="43">
        <v>129.76599999999999</v>
      </c>
      <c r="AJ454" s="39" t="s">
        <v>539</v>
      </c>
      <c r="AK454" s="39" t="s">
        <v>539</v>
      </c>
      <c r="AL454" s="44"/>
      <c r="AM454" s="43">
        <v>154.1</v>
      </c>
      <c r="AN454" s="39" t="s">
        <v>539</v>
      </c>
      <c r="AO454" s="39">
        <v>20.759507558244316</v>
      </c>
      <c r="AP454" s="43" t="s">
        <v>539</v>
      </c>
      <c r="AQ454" s="43">
        <v>0</v>
      </c>
      <c r="AR454" s="43">
        <v>127.60899999999999</v>
      </c>
      <c r="AS454" s="39" t="s">
        <v>539</v>
      </c>
      <c r="AT454" s="39" t="s">
        <v>539</v>
      </c>
      <c r="AU454" s="1">
        <v>14460.82103567</v>
      </c>
    </row>
    <row r="455" spans="2:47" ht="18" customHeight="1" x14ac:dyDescent="0.25">
      <c r="B455" s="2">
        <f>IF(G455=$B$6,MAX(B$7:B454)+1,IF($B$6="Nifty 500 - All Sector",B454+1,0))</f>
        <v>0</v>
      </c>
      <c r="C455" s="36">
        <v>27243</v>
      </c>
      <c r="D455" s="36" t="s">
        <v>474</v>
      </c>
      <c r="E455" s="36" t="s">
        <v>527</v>
      </c>
      <c r="F455" s="36" t="s">
        <v>1007</v>
      </c>
      <c r="G455" s="36" t="s">
        <v>600</v>
      </c>
      <c r="H455" s="36" t="s">
        <v>529</v>
      </c>
      <c r="I455" s="37" t="s">
        <v>540</v>
      </c>
      <c r="J455" s="38" t="s">
        <v>539</v>
      </c>
      <c r="K455" s="39" t="s">
        <v>540</v>
      </c>
      <c r="L455" s="39" t="s">
        <v>540</v>
      </c>
      <c r="M455" s="38" t="s">
        <v>539</v>
      </c>
      <c r="N455" s="38">
        <v>1072.146</v>
      </c>
      <c r="O455" s="38">
        <v>1073.58</v>
      </c>
      <c r="P455" s="39" t="s">
        <v>540</v>
      </c>
      <c r="Q455" s="39" t="s">
        <v>540</v>
      </c>
      <c r="R455" s="40"/>
      <c r="S455" s="38" t="s">
        <v>539</v>
      </c>
      <c r="T455" s="39" t="s">
        <v>540</v>
      </c>
      <c r="U455" s="39" t="s">
        <v>540</v>
      </c>
      <c r="V455" s="38" t="s">
        <v>539</v>
      </c>
      <c r="W455" s="38">
        <v>183.12100000000001</v>
      </c>
      <c r="X455" s="38">
        <v>153.66399999999999</v>
      </c>
      <c r="Y455" s="39" t="s">
        <v>540</v>
      </c>
      <c r="Z455" s="39" t="s">
        <v>540</v>
      </c>
      <c r="AA455" s="41" t="s">
        <v>540</v>
      </c>
      <c r="AB455" s="42" t="s">
        <v>540</v>
      </c>
      <c r="AC455" s="40"/>
      <c r="AD455" s="43" t="s">
        <v>540</v>
      </c>
      <c r="AE455" s="39" t="s">
        <v>539</v>
      </c>
      <c r="AF455" s="39" t="s">
        <v>539</v>
      </c>
      <c r="AG455" s="43" t="s">
        <v>539</v>
      </c>
      <c r="AH455" s="43">
        <v>116.309</v>
      </c>
      <c r="AI455" s="43">
        <v>100.411</v>
      </c>
      <c r="AJ455" s="39" t="s">
        <v>539</v>
      </c>
      <c r="AK455" s="39" t="s">
        <v>539</v>
      </c>
      <c r="AL455" s="44"/>
      <c r="AM455" s="43" t="s">
        <v>539</v>
      </c>
      <c r="AN455" s="39" t="s">
        <v>539</v>
      </c>
      <c r="AO455" s="39" t="s">
        <v>539</v>
      </c>
      <c r="AP455" s="43" t="s">
        <v>539</v>
      </c>
      <c r="AQ455" s="43">
        <v>116.307</v>
      </c>
      <c r="AR455" s="43">
        <v>100.411</v>
      </c>
      <c r="AS455" s="39" t="s">
        <v>539</v>
      </c>
      <c r="AT455" s="39" t="s">
        <v>539</v>
      </c>
      <c r="AU455" s="1">
        <v>19035.860155775001</v>
      </c>
    </row>
    <row r="456" spans="2:47" ht="18" customHeight="1" x14ac:dyDescent="0.25">
      <c r="B456" s="2">
        <f>IF(G456=$B$6,MAX(B$7:B455)+1,IF($B$6="Nifty 500 - All Sector",B455+1,0))</f>
        <v>0</v>
      </c>
      <c r="C456" s="36">
        <v>965</v>
      </c>
      <c r="D456" s="36" t="s">
        <v>475</v>
      </c>
      <c r="E456" s="36" t="s">
        <v>527</v>
      </c>
      <c r="F456" s="36" t="s">
        <v>1008</v>
      </c>
      <c r="G456" s="36" t="s">
        <v>600</v>
      </c>
      <c r="H456" s="36" t="s">
        <v>529</v>
      </c>
      <c r="I456" s="37" t="s">
        <v>540</v>
      </c>
      <c r="J456" s="38" t="s">
        <v>539</v>
      </c>
      <c r="K456" s="39" t="s">
        <v>540</v>
      </c>
      <c r="L456" s="39" t="s">
        <v>540</v>
      </c>
      <c r="M456" s="38" t="s">
        <v>539</v>
      </c>
      <c r="N456" s="38">
        <v>5046.59</v>
      </c>
      <c r="O456" s="38">
        <v>4943.41</v>
      </c>
      <c r="P456" s="39" t="s">
        <v>540</v>
      </c>
      <c r="Q456" s="39" t="s">
        <v>540</v>
      </c>
      <c r="R456" s="40"/>
      <c r="S456" s="38" t="s">
        <v>539</v>
      </c>
      <c r="T456" s="39" t="s">
        <v>540</v>
      </c>
      <c r="U456" s="39" t="s">
        <v>540</v>
      </c>
      <c r="V456" s="38" t="s">
        <v>539</v>
      </c>
      <c r="W456" s="38">
        <v>736.16000000000099</v>
      </c>
      <c r="X456" s="38">
        <v>612.63</v>
      </c>
      <c r="Y456" s="39" t="s">
        <v>540</v>
      </c>
      <c r="Z456" s="39" t="s">
        <v>540</v>
      </c>
      <c r="AA456" s="41" t="s">
        <v>540</v>
      </c>
      <c r="AB456" s="42" t="s">
        <v>540</v>
      </c>
      <c r="AC456" s="40"/>
      <c r="AD456" s="43" t="s">
        <v>540</v>
      </c>
      <c r="AE456" s="39" t="s">
        <v>539</v>
      </c>
      <c r="AF456" s="39" t="s">
        <v>539</v>
      </c>
      <c r="AG456" s="43" t="s">
        <v>539</v>
      </c>
      <c r="AH456" s="43">
        <v>80.070000000000803</v>
      </c>
      <c r="AI456" s="43">
        <v>244.95</v>
      </c>
      <c r="AJ456" s="39" t="s">
        <v>539</v>
      </c>
      <c r="AK456" s="39" t="s">
        <v>539</v>
      </c>
      <c r="AL456" s="44"/>
      <c r="AM456" s="43" t="s">
        <v>539</v>
      </c>
      <c r="AN456" s="39" t="s">
        <v>539</v>
      </c>
      <c r="AO456" s="39" t="s">
        <v>539</v>
      </c>
      <c r="AP456" s="43" t="s">
        <v>539</v>
      </c>
      <c r="AQ456" s="43">
        <v>291.27999999999997</v>
      </c>
      <c r="AR456" s="43">
        <v>257.99</v>
      </c>
      <c r="AS456" s="39" t="s">
        <v>539</v>
      </c>
      <c r="AT456" s="39" t="s">
        <v>539</v>
      </c>
      <c r="AU456" s="1">
        <v>14024.41557162</v>
      </c>
    </row>
    <row r="457" spans="2:47" ht="18" customHeight="1" x14ac:dyDescent="0.25">
      <c r="B457" s="2">
        <f>IF(G457=$B$6,MAX(B$7:B456)+1,IF($B$6="Nifty 500 - All Sector",B456+1,0))</f>
        <v>0</v>
      </c>
      <c r="C457" s="36">
        <v>1076</v>
      </c>
      <c r="D457" s="36" t="s">
        <v>476</v>
      </c>
      <c r="E457" s="36" t="s">
        <v>527</v>
      </c>
      <c r="F457" s="36" t="s">
        <v>1009</v>
      </c>
      <c r="G457" s="36" t="s">
        <v>600</v>
      </c>
      <c r="H457" s="36" t="s">
        <v>529</v>
      </c>
      <c r="I457" s="37" t="s">
        <v>540</v>
      </c>
      <c r="J457" s="38">
        <v>970.1</v>
      </c>
      <c r="K457" s="39">
        <v>8.2604231765020852</v>
      </c>
      <c r="L457" s="39">
        <v>5.784853606673579</v>
      </c>
      <c r="M457" s="38" t="s">
        <v>539</v>
      </c>
      <c r="N457" s="38">
        <v>896.08</v>
      </c>
      <c r="O457" s="38">
        <v>917.05</v>
      </c>
      <c r="P457" s="39" t="s">
        <v>540</v>
      </c>
      <c r="Q457" s="39" t="s">
        <v>540</v>
      </c>
      <c r="R457" s="40"/>
      <c r="S457" s="38">
        <v>187.9</v>
      </c>
      <c r="T457" s="39">
        <v>19.369137202350274</v>
      </c>
      <c r="U457" s="39">
        <v>379.35189539795948</v>
      </c>
      <c r="V457" s="38" t="s">
        <v>539</v>
      </c>
      <c r="W457" s="38">
        <v>139.57</v>
      </c>
      <c r="X457" s="38">
        <v>175.94</v>
      </c>
      <c r="Y457" s="39" t="s">
        <v>540</v>
      </c>
      <c r="Z457" s="39" t="s">
        <v>540</v>
      </c>
      <c r="AA457" s="41" t="s">
        <v>540</v>
      </c>
      <c r="AB457" s="42" t="s">
        <v>540</v>
      </c>
      <c r="AC457" s="40"/>
      <c r="AD457" s="43">
        <v>126.3</v>
      </c>
      <c r="AE457" s="39">
        <v>30.596629097301342</v>
      </c>
      <c r="AF457" s="39">
        <v>22.597553873034371</v>
      </c>
      <c r="AG457" s="43" t="s">
        <v>539</v>
      </c>
      <c r="AH457" s="43">
        <v>96.709999999999894</v>
      </c>
      <c r="AI457" s="43">
        <v>103.02</v>
      </c>
      <c r="AJ457" s="39" t="s">
        <v>539</v>
      </c>
      <c r="AK457" s="39" t="s">
        <v>539</v>
      </c>
      <c r="AL457" s="44"/>
      <c r="AM457" s="43">
        <v>126.3</v>
      </c>
      <c r="AN457" s="39">
        <v>25.061887315575792</v>
      </c>
      <c r="AO457" s="39">
        <v>17.433751743375183</v>
      </c>
      <c r="AP457" s="43" t="s">
        <v>539</v>
      </c>
      <c r="AQ457" s="43">
        <v>100.99</v>
      </c>
      <c r="AR457" s="43">
        <v>107.55</v>
      </c>
      <c r="AS457" s="39" t="s">
        <v>539</v>
      </c>
      <c r="AT457" s="39" t="s">
        <v>539</v>
      </c>
      <c r="AU457" s="1">
        <v>13461.97829175</v>
      </c>
    </row>
    <row r="458" spans="2:47" ht="18" customHeight="1" x14ac:dyDescent="0.25">
      <c r="B458" s="2">
        <f>IF(G458=$B$6,MAX(B$7:B457)+1,IF($B$6="Nifty 500 - All Sector",B457+1,0))</f>
        <v>0</v>
      </c>
      <c r="C458" s="36">
        <v>75761</v>
      </c>
      <c r="D458" s="36" t="s">
        <v>477</v>
      </c>
      <c r="E458" s="36" t="s">
        <v>527</v>
      </c>
      <c r="F458" s="36" t="s">
        <v>1010</v>
      </c>
      <c r="G458" s="36" t="s">
        <v>600</v>
      </c>
      <c r="H458" s="36" t="s">
        <v>529</v>
      </c>
      <c r="I458" s="37" t="s">
        <v>540</v>
      </c>
      <c r="J458" s="38" t="s">
        <v>539</v>
      </c>
      <c r="K458" s="39" t="s">
        <v>540</v>
      </c>
      <c r="L458" s="39" t="s">
        <v>540</v>
      </c>
      <c r="M458" s="38" t="s">
        <v>539</v>
      </c>
      <c r="N458" s="38">
        <v>2838.25</v>
      </c>
      <c r="O458" s="38">
        <v>3007.69</v>
      </c>
      <c r="P458" s="39" t="s">
        <v>540</v>
      </c>
      <c r="Q458" s="39" t="s">
        <v>540</v>
      </c>
      <c r="R458" s="40"/>
      <c r="S458" s="38" t="s">
        <v>539</v>
      </c>
      <c r="T458" s="39" t="s">
        <v>540</v>
      </c>
      <c r="U458" s="39" t="s">
        <v>540</v>
      </c>
      <c r="V458" s="38" t="s">
        <v>539</v>
      </c>
      <c r="W458" s="38">
        <v>-290.52999999999997</v>
      </c>
      <c r="X458" s="38">
        <v>97.520000000000095</v>
      </c>
      <c r="Y458" s="39" t="s">
        <v>540</v>
      </c>
      <c r="Z458" s="39" t="s">
        <v>540</v>
      </c>
      <c r="AA458" s="41" t="s">
        <v>540</v>
      </c>
      <c r="AB458" s="42" t="s">
        <v>540</v>
      </c>
      <c r="AC458" s="40"/>
      <c r="AD458" s="43" t="s">
        <v>540</v>
      </c>
      <c r="AE458" s="39" t="s">
        <v>547</v>
      </c>
      <c r="AF458" s="39" t="s">
        <v>547</v>
      </c>
      <c r="AG458" s="43" t="s">
        <v>539</v>
      </c>
      <c r="AH458" s="43">
        <v>-473.39</v>
      </c>
      <c r="AI458" s="43">
        <v>-243.97</v>
      </c>
      <c r="AJ458" s="39" t="s">
        <v>547</v>
      </c>
      <c r="AK458" s="39" t="s">
        <v>547</v>
      </c>
      <c r="AL458" s="44"/>
      <c r="AM458" s="43" t="s">
        <v>539</v>
      </c>
      <c r="AN458" s="39" t="s">
        <v>547</v>
      </c>
      <c r="AO458" s="39" t="s">
        <v>547</v>
      </c>
      <c r="AP458" s="43" t="s">
        <v>539</v>
      </c>
      <c r="AQ458" s="43">
        <v>-473.39</v>
      </c>
      <c r="AR458" s="43">
        <v>-243.97</v>
      </c>
      <c r="AS458" s="39" t="s">
        <v>547</v>
      </c>
      <c r="AT458" s="39" t="s">
        <v>547</v>
      </c>
      <c r="AU458" s="1">
        <v>12129.77761315</v>
      </c>
    </row>
    <row r="459" spans="2:47" ht="18" customHeight="1" x14ac:dyDescent="0.25">
      <c r="B459" s="2">
        <f>IF(G459=$B$6,MAX(B$7:B458)+1,IF($B$6="Nifty 500 - All Sector",B458+1,0))</f>
        <v>0</v>
      </c>
      <c r="C459" s="36">
        <v>35607</v>
      </c>
      <c r="D459" s="36" t="s">
        <v>478</v>
      </c>
      <c r="E459" s="36" t="s">
        <v>527</v>
      </c>
      <c r="F459" s="36" t="s">
        <v>1011</v>
      </c>
      <c r="G459" s="36" t="s">
        <v>600</v>
      </c>
      <c r="H459" s="36" t="s">
        <v>529</v>
      </c>
      <c r="I459" s="37" t="s">
        <v>540</v>
      </c>
      <c r="J459" s="38">
        <v>1082.875</v>
      </c>
      <c r="K459" s="39">
        <v>4.4167703240861389</v>
      </c>
      <c r="L459" s="39">
        <v>6.4700561416618285</v>
      </c>
      <c r="M459" s="38" t="s">
        <v>539</v>
      </c>
      <c r="N459" s="38">
        <v>1037.07</v>
      </c>
      <c r="O459" s="38">
        <v>1017.07</v>
      </c>
      <c r="P459" s="39" t="s">
        <v>540</v>
      </c>
      <c r="Q459" s="39" t="s">
        <v>540</v>
      </c>
      <c r="R459" s="40"/>
      <c r="S459" s="38">
        <v>107.66666666666667</v>
      </c>
      <c r="T459" s="39">
        <v>9.9426680518680985</v>
      </c>
      <c r="U459" s="39">
        <v>105.3200609940351</v>
      </c>
      <c r="V459" s="38" t="s">
        <v>539</v>
      </c>
      <c r="W459" s="38">
        <v>92.190000000000097</v>
      </c>
      <c r="X459" s="38">
        <v>119.78</v>
      </c>
      <c r="Y459" s="39" t="s">
        <v>540</v>
      </c>
      <c r="Z459" s="39" t="s">
        <v>540</v>
      </c>
      <c r="AA459" s="41" t="s">
        <v>540</v>
      </c>
      <c r="AB459" s="42" t="s">
        <v>540</v>
      </c>
      <c r="AC459" s="40"/>
      <c r="AD459" s="43">
        <v>87.033299999999997</v>
      </c>
      <c r="AE459" s="39">
        <v>-8.308786346397067</v>
      </c>
      <c r="AF459" s="39">
        <v>-10.72592060724168</v>
      </c>
      <c r="AG459" s="43" t="s">
        <v>539</v>
      </c>
      <c r="AH459" s="43">
        <v>94.920000000000101</v>
      </c>
      <c r="AI459" s="43">
        <v>97.489999999999895</v>
      </c>
      <c r="AJ459" s="39" t="s">
        <v>539</v>
      </c>
      <c r="AK459" s="39" t="s">
        <v>539</v>
      </c>
      <c r="AL459" s="44"/>
      <c r="AM459" s="43">
        <v>87.033299999999997</v>
      </c>
      <c r="AN459" s="39">
        <v>-8.5111952065594405</v>
      </c>
      <c r="AO459" s="39">
        <v>-10.89044742500257</v>
      </c>
      <c r="AP459" s="43" t="s">
        <v>539</v>
      </c>
      <c r="AQ459" s="43">
        <v>95.13</v>
      </c>
      <c r="AR459" s="43">
        <v>97.67</v>
      </c>
      <c r="AS459" s="39" t="s">
        <v>539</v>
      </c>
      <c r="AT459" s="39" t="s">
        <v>539</v>
      </c>
      <c r="AU459" s="1">
        <v>11947.004921115</v>
      </c>
    </row>
    <row r="460" spans="2:47" ht="18" customHeight="1" x14ac:dyDescent="0.25">
      <c r="B460" s="2">
        <f>IF(G460=$B$6,MAX(B$7:B459)+1,IF($B$6="Nifty 500 - All Sector",B459+1,0))</f>
        <v>0</v>
      </c>
      <c r="C460" s="36">
        <v>68117</v>
      </c>
      <c r="D460" s="36" t="s">
        <v>479</v>
      </c>
      <c r="E460" s="36" t="s">
        <v>527</v>
      </c>
      <c r="F460" s="36" t="s">
        <v>1012</v>
      </c>
      <c r="G460" s="36" t="s">
        <v>621</v>
      </c>
      <c r="H460" s="36" t="s">
        <v>532</v>
      </c>
      <c r="I460" s="37" t="s">
        <v>540</v>
      </c>
      <c r="J460" s="38">
        <v>18056.294444444447</v>
      </c>
      <c r="K460" s="39">
        <v>209.55416499990483</v>
      </c>
      <c r="L460" s="39">
        <v>10.672966254639583</v>
      </c>
      <c r="M460" s="38" t="s">
        <v>539</v>
      </c>
      <c r="N460" s="38">
        <v>5833</v>
      </c>
      <c r="O460" s="38">
        <v>16315</v>
      </c>
      <c r="P460" s="39" t="s">
        <v>540</v>
      </c>
      <c r="Q460" s="39" t="s">
        <v>540</v>
      </c>
      <c r="R460" s="40"/>
      <c r="S460" s="38">
        <v>395.02105263157898</v>
      </c>
      <c r="T460" s="39">
        <v>2.1877193786741711</v>
      </c>
      <c r="U460" s="39">
        <v>95.336312974566084</v>
      </c>
      <c r="V460" s="38" t="s">
        <v>539</v>
      </c>
      <c r="W460" s="38">
        <v>72</v>
      </c>
      <c r="X460" s="38">
        <v>368</v>
      </c>
      <c r="Y460" s="39" t="s">
        <v>540</v>
      </c>
      <c r="Z460" s="39" t="s">
        <v>540</v>
      </c>
      <c r="AA460" s="41" t="s">
        <v>540</v>
      </c>
      <c r="AB460" s="42" t="s">
        <v>540</v>
      </c>
      <c r="AC460" s="40"/>
      <c r="AD460" s="43">
        <v>160.60589999999999</v>
      </c>
      <c r="AE460" s="39">
        <v>311.81</v>
      </c>
      <c r="AF460" s="39">
        <v>57.45676470588235</v>
      </c>
      <c r="AG460" s="43" t="s">
        <v>539</v>
      </c>
      <c r="AH460" s="43">
        <v>39</v>
      </c>
      <c r="AI460" s="43">
        <v>102</v>
      </c>
      <c r="AJ460" s="39" t="s">
        <v>539</v>
      </c>
      <c r="AK460" s="39" t="s">
        <v>539</v>
      </c>
      <c r="AL460" s="44"/>
      <c r="AM460" s="43">
        <v>160.60589999999999</v>
      </c>
      <c r="AN460" s="39">
        <v>311.81</v>
      </c>
      <c r="AO460" s="39">
        <v>57.45676470588235</v>
      </c>
      <c r="AP460" s="43" t="s">
        <v>539</v>
      </c>
      <c r="AQ460" s="43">
        <v>39</v>
      </c>
      <c r="AR460" s="43">
        <v>102</v>
      </c>
      <c r="AS460" s="39" t="s">
        <v>539</v>
      </c>
      <c r="AT460" s="39" t="s">
        <v>539</v>
      </c>
      <c r="AU460" s="1">
        <v>237881.14344854999</v>
      </c>
    </row>
    <row r="461" spans="2:47" ht="18" customHeight="1" x14ac:dyDescent="0.25">
      <c r="B461" s="2">
        <f>IF(G461=$B$6,MAX(B$7:B460)+1,IF($B$6="Nifty 500 - All Sector",B460+1,0))</f>
        <v>0</v>
      </c>
      <c r="C461" s="36">
        <v>68148</v>
      </c>
      <c r="D461" s="36" t="s">
        <v>480</v>
      </c>
      <c r="E461" s="36" t="s">
        <v>527</v>
      </c>
      <c r="F461" s="36" t="s">
        <v>1013</v>
      </c>
      <c r="G461" s="36" t="s">
        <v>621</v>
      </c>
      <c r="H461" s="36" t="s">
        <v>535</v>
      </c>
      <c r="I461" s="37" t="s">
        <v>540</v>
      </c>
      <c r="J461" s="38">
        <v>6212.1374999999998</v>
      </c>
      <c r="K461" s="39">
        <v>40.864189020500795</v>
      </c>
      <c r="L461" s="39">
        <v>1.0432254391672169</v>
      </c>
      <c r="M461" s="38" t="s">
        <v>539</v>
      </c>
      <c r="N461" s="38">
        <v>4410.0190000000002</v>
      </c>
      <c r="O461" s="38">
        <v>6148</v>
      </c>
      <c r="P461" s="39" t="s">
        <v>540</v>
      </c>
      <c r="Q461" s="39" t="s">
        <v>540</v>
      </c>
      <c r="R461" s="40"/>
      <c r="S461" s="38">
        <v>-670.6</v>
      </c>
      <c r="T461" s="39">
        <v>-10.79499608629075</v>
      </c>
      <c r="U461" s="39">
        <v>1101.3708139246576</v>
      </c>
      <c r="V461" s="38" t="s">
        <v>539</v>
      </c>
      <c r="W461" s="38">
        <v>-961.76799999999901</v>
      </c>
      <c r="X461" s="38">
        <v>-782</v>
      </c>
      <c r="Y461" s="39" t="s">
        <v>540</v>
      </c>
      <c r="Z461" s="39" t="s">
        <v>540</v>
      </c>
      <c r="AA461" s="41" t="s">
        <v>540</v>
      </c>
      <c r="AB461" s="42" t="s">
        <v>540</v>
      </c>
      <c r="AC461" s="40"/>
      <c r="AD461" s="43">
        <v>-884.9</v>
      </c>
      <c r="AE461" s="39" t="s">
        <v>548</v>
      </c>
      <c r="AF461" s="39" t="s">
        <v>548</v>
      </c>
      <c r="AG461" s="43" t="s">
        <v>539</v>
      </c>
      <c r="AH461" s="43">
        <v>-1078.9570000000001</v>
      </c>
      <c r="AI461" s="43">
        <v>-1064</v>
      </c>
      <c r="AJ461" s="39" t="s">
        <v>547</v>
      </c>
      <c r="AK461" s="39" t="s">
        <v>547</v>
      </c>
      <c r="AL461" s="44"/>
      <c r="AM461" s="43">
        <v>-884.9</v>
      </c>
      <c r="AN461" s="39" t="s">
        <v>548</v>
      </c>
      <c r="AO461" s="39" t="s">
        <v>548</v>
      </c>
      <c r="AP461" s="43" t="s">
        <v>539</v>
      </c>
      <c r="AQ461" s="43">
        <v>-1081.182</v>
      </c>
      <c r="AR461" s="43">
        <v>-1065</v>
      </c>
      <c r="AS461" s="39" t="s">
        <v>547</v>
      </c>
      <c r="AT461" s="39" t="s">
        <v>547</v>
      </c>
      <c r="AU461" s="1">
        <v>75204.742805974995</v>
      </c>
    </row>
    <row r="462" spans="2:47" ht="18" customHeight="1" x14ac:dyDescent="0.25">
      <c r="B462" s="2">
        <f>IF(G462=$B$6,MAX(B$7:B461)+1,IF($B$6="Nifty 500 - All Sector",B461+1,0))</f>
        <v>0</v>
      </c>
      <c r="C462" s="36">
        <v>75803</v>
      </c>
      <c r="D462" s="36" t="s">
        <v>481</v>
      </c>
      <c r="E462" s="36" t="s">
        <v>527</v>
      </c>
      <c r="F462" s="36" t="s">
        <v>1014</v>
      </c>
      <c r="G462" s="36" t="s">
        <v>621</v>
      </c>
      <c r="H462" s="36" t="s">
        <v>535</v>
      </c>
      <c r="I462" s="37" t="s">
        <v>540</v>
      </c>
      <c r="J462" s="38">
        <v>2602.5555555555557</v>
      </c>
      <c r="K462" s="39">
        <v>26.229801507234374</v>
      </c>
      <c r="L462" s="39">
        <v>-9.4215088242778133</v>
      </c>
      <c r="M462" s="38" t="s">
        <v>539</v>
      </c>
      <c r="N462" s="38">
        <v>2061.7600000000002</v>
      </c>
      <c r="O462" s="38">
        <v>2873.26</v>
      </c>
      <c r="P462" s="39" t="s">
        <v>540</v>
      </c>
      <c r="Q462" s="39" t="s">
        <v>540</v>
      </c>
      <c r="R462" s="40"/>
      <c r="S462" s="38">
        <v>208.76999999999998</v>
      </c>
      <c r="T462" s="39">
        <v>8.0217307774409754</v>
      </c>
      <c r="U462" s="39">
        <v>155.3955672676116</v>
      </c>
      <c r="V462" s="38" t="s">
        <v>539</v>
      </c>
      <c r="W462" s="38">
        <v>133.35</v>
      </c>
      <c r="X462" s="38">
        <v>229.76</v>
      </c>
      <c r="Y462" s="39" t="s">
        <v>540</v>
      </c>
      <c r="Z462" s="39" t="s">
        <v>540</v>
      </c>
      <c r="AA462" s="41" t="s">
        <v>540</v>
      </c>
      <c r="AB462" s="42" t="s">
        <v>540</v>
      </c>
      <c r="AC462" s="40"/>
      <c r="AD462" s="43">
        <v>69.966700000000003</v>
      </c>
      <c r="AE462" s="39">
        <v>267.27926509186352</v>
      </c>
      <c r="AF462" s="39">
        <v>3.2871272512546623</v>
      </c>
      <c r="AG462" s="43" t="s">
        <v>539</v>
      </c>
      <c r="AH462" s="43">
        <v>19.05</v>
      </c>
      <c r="AI462" s="43">
        <v>67.740000000000094</v>
      </c>
      <c r="AJ462" s="39" t="s">
        <v>539</v>
      </c>
      <c r="AK462" s="39" t="s">
        <v>539</v>
      </c>
      <c r="AL462" s="44"/>
      <c r="AM462" s="43">
        <v>69.966700000000003</v>
      </c>
      <c r="AN462" s="39">
        <v>245.00345167652861</v>
      </c>
      <c r="AO462" s="39">
        <v>10.514452693097454</v>
      </c>
      <c r="AP462" s="43" t="s">
        <v>539</v>
      </c>
      <c r="AQ462" s="43">
        <v>20.28</v>
      </c>
      <c r="AR462" s="43">
        <v>63.31</v>
      </c>
      <c r="AS462" s="39" t="s">
        <v>539</v>
      </c>
      <c r="AT462" s="39" t="s">
        <v>539</v>
      </c>
      <c r="AU462" s="1">
        <v>74887.711496179996</v>
      </c>
    </row>
    <row r="463" spans="2:47" ht="18" customHeight="1" x14ac:dyDescent="0.25">
      <c r="B463" s="2">
        <f>IF(G463=$B$6,MAX(B$7:B462)+1,IF($B$6="Nifty 500 - All Sector",B462+1,0))</f>
        <v>0</v>
      </c>
      <c r="C463" s="36">
        <v>77963</v>
      </c>
      <c r="D463" s="36" t="s">
        <v>482</v>
      </c>
      <c r="E463" s="36" t="s">
        <v>527</v>
      </c>
      <c r="F463" s="36" t="s">
        <v>1015</v>
      </c>
      <c r="G463" s="36" t="s">
        <v>621</v>
      </c>
      <c r="H463" s="36" t="s">
        <v>529</v>
      </c>
      <c r="I463" s="37" t="s">
        <v>540</v>
      </c>
      <c r="J463" s="38">
        <v>3459.9333333333334</v>
      </c>
      <c r="K463" s="39" t="s">
        <v>540</v>
      </c>
      <c r="L463" s="39">
        <v>-1.6393194067845895</v>
      </c>
      <c r="M463" s="38" t="s">
        <v>539</v>
      </c>
      <c r="N463" s="38">
        <v>0</v>
      </c>
      <c r="O463" s="38">
        <v>3517.598</v>
      </c>
      <c r="P463" s="39" t="s">
        <v>540</v>
      </c>
      <c r="Q463" s="39" t="s">
        <v>540</v>
      </c>
      <c r="R463" s="40"/>
      <c r="S463" s="38">
        <v>-432.5</v>
      </c>
      <c r="T463" s="39">
        <v>-12.500240852424902</v>
      </c>
      <c r="U463" s="39" t="s">
        <v>540</v>
      </c>
      <c r="V463" s="38" t="s">
        <v>539</v>
      </c>
      <c r="W463" s="38" t="s">
        <v>540</v>
      </c>
      <c r="X463" s="38">
        <v>-538.89099999999996</v>
      </c>
      <c r="Y463" s="39" t="s">
        <v>540</v>
      </c>
      <c r="Z463" s="39" t="s">
        <v>540</v>
      </c>
      <c r="AA463" s="41" t="s">
        <v>540</v>
      </c>
      <c r="AB463" s="42" t="s">
        <v>540</v>
      </c>
      <c r="AC463" s="40"/>
      <c r="AD463" s="43">
        <v>-189.1</v>
      </c>
      <c r="AE463" s="39" t="s">
        <v>539</v>
      </c>
      <c r="AF463" s="39" t="s">
        <v>548</v>
      </c>
      <c r="AG463" s="43" t="s">
        <v>539</v>
      </c>
      <c r="AH463" s="43">
        <v>0</v>
      </c>
      <c r="AI463" s="43">
        <v>-490.67500000000098</v>
      </c>
      <c r="AJ463" s="39" t="s">
        <v>539</v>
      </c>
      <c r="AK463" s="39" t="s">
        <v>547</v>
      </c>
      <c r="AL463" s="44"/>
      <c r="AM463" s="43">
        <v>-189.1</v>
      </c>
      <c r="AN463" s="39" t="s">
        <v>539</v>
      </c>
      <c r="AO463" s="39" t="s">
        <v>548</v>
      </c>
      <c r="AP463" s="43" t="s">
        <v>539</v>
      </c>
      <c r="AQ463" s="43">
        <v>0</v>
      </c>
      <c r="AR463" s="43">
        <v>-490.67500000000001</v>
      </c>
      <c r="AS463" s="39" t="s">
        <v>539</v>
      </c>
      <c r="AT463" s="39" t="s">
        <v>547</v>
      </c>
      <c r="AU463" s="1">
        <v>74622.302454599994</v>
      </c>
    </row>
    <row r="464" spans="2:47" ht="18" customHeight="1" x14ac:dyDescent="0.25">
      <c r="B464" s="2">
        <f>IF(G464=$B$6,MAX(B$7:B463)+1,IF($B$6="Nifty 500 - All Sector",B463+1,0))</f>
        <v>0</v>
      </c>
      <c r="C464" s="36">
        <v>41343</v>
      </c>
      <c r="D464" s="36" t="s">
        <v>483</v>
      </c>
      <c r="E464" s="36" t="s">
        <v>527</v>
      </c>
      <c r="F464" s="36" t="s">
        <v>1016</v>
      </c>
      <c r="G464" s="36" t="s">
        <v>621</v>
      </c>
      <c r="H464" s="36" t="s">
        <v>535</v>
      </c>
      <c r="I464" s="37" t="s">
        <v>540</v>
      </c>
      <c r="J464" s="38">
        <v>1999.0818181818181</v>
      </c>
      <c r="K464" s="39">
        <v>32.576536318238205</v>
      </c>
      <c r="L464" s="39">
        <v>12.869142544777002</v>
      </c>
      <c r="M464" s="38" t="s">
        <v>539</v>
      </c>
      <c r="N464" s="38">
        <v>1507.87</v>
      </c>
      <c r="O464" s="38">
        <v>1771.15</v>
      </c>
      <c r="P464" s="39" t="s">
        <v>540</v>
      </c>
      <c r="Q464" s="39" t="s">
        <v>540</v>
      </c>
      <c r="R464" s="40"/>
      <c r="S464" s="38">
        <v>238.65</v>
      </c>
      <c r="T464" s="39">
        <v>11.9379806183748</v>
      </c>
      <c r="U464" s="39">
        <v>444.131313377732</v>
      </c>
      <c r="V464" s="38" t="s">
        <v>539</v>
      </c>
      <c r="W464" s="38">
        <v>113.04</v>
      </c>
      <c r="X464" s="38">
        <v>158.78</v>
      </c>
      <c r="Y464" s="39" t="s">
        <v>540</v>
      </c>
      <c r="Z464" s="39" t="s">
        <v>540</v>
      </c>
      <c r="AA464" s="41" t="s">
        <v>540</v>
      </c>
      <c r="AB464" s="42" t="s">
        <v>540</v>
      </c>
      <c r="AC464" s="40"/>
      <c r="AD464" s="43">
        <v>244.85999999999999</v>
      </c>
      <c r="AE464" s="39">
        <v>43.293539325842701</v>
      </c>
      <c r="AF464" s="39">
        <v>29.610417107770481</v>
      </c>
      <c r="AG464" s="43" t="s">
        <v>539</v>
      </c>
      <c r="AH464" s="43">
        <v>170.88</v>
      </c>
      <c r="AI464" s="43">
        <v>188.92</v>
      </c>
      <c r="AJ464" s="39" t="s">
        <v>539</v>
      </c>
      <c r="AK464" s="39" t="s">
        <v>539</v>
      </c>
      <c r="AL464" s="44"/>
      <c r="AM464" s="43">
        <v>244.85999999999999</v>
      </c>
      <c r="AN464" s="39">
        <v>43.511897784550449</v>
      </c>
      <c r="AO464" s="39">
        <v>29.295596155877067</v>
      </c>
      <c r="AP464" s="43" t="s">
        <v>539</v>
      </c>
      <c r="AQ464" s="43">
        <v>170.62</v>
      </c>
      <c r="AR464" s="43">
        <v>189.38</v>
      </c>
      <c r="AS464" s="39" t="s">
        <v>539</v>
      </c>
      <c r="AT464" s="39" t="s">
        <v>539</v>
      </c>
      <c r="AU464" s="1">
        <v>68469.320498600006</v>
      </c>
    </row>
    <row r="465" spans="2:47" ht="18" customHeight="1" x14ac:dyDescent="0.25">
      <c r="B465" s="2">
        <f>IF(G465=$B$6,MAX(B$7:B464)+1,IF($B$6="Nifty 500 - All Sector",B464+1,0))</f>
        <v>0</v>
      </c>
      <c r="C465" s="36">
        <v>40147</v>
      </c>
      <c r="D465" s="36" t="s">
        <v>484</v>
      </c>
      <c r="E465" s="36" t="s">
        <v>527</v>
      </c>
      <c r="F465" s="36" t="s">
        <v>1017</v>
      </c>
      <c r="G465" s="36" t="s">
        <v>621</v>
      </c>
      <c r="H465" s="36" t="s">
        <v>535</v>
      </c>
      <c r="I465" s="37" t="s">
        <v>540</v>
      </c>
      <c r="J465" s="38">
        <v>2216.0285714285715</v>
      </c>
      <c r="K465" s="39">
        <v>15.93139269832966</v>
      </c>
      <c r="L465" s="39">
        <v>1.0040369839822816</v>
      </c>
      <c r="M465" s="38" t="s">
        <v>539</v>
      </c>
      <c r="N465" s="38">
        <v>1911.5</v>
      </c>
      <c r="O465" s="38">
        <v>2194</v>
      </c>
      <c r="P465" s="39" t="s">
        <v>540</v>
      </c>
      <c r="Q465" s="39" t="s">
        <v>540</v>
      </c>
      <c r="R465" s="40"/>
      <c r="S465" s="38">
        <v>141.88</v>
      </c>
      <c r="T465" s="39">
        <v>6.4024445275331674</v>
      </c>
      <c r="U465" s="39">
        <v>1103.75478495316</v>
      </c>
      <c r="V465" s="38" t="s">
        <v>539</v>
      </c>
      <c r="W465" s="38">
        <v>-88.6</v>
      </c>
      <c r="X465" s="38">
        <v>156</v>
      </c>
      <c r="Y465" s="39" t="s">
        <v>540</v>
      </c>
      <c r="Z465" s="39" t="s">
        <v>540</v>
      </c>
      <c r="AA465" s="41" t="s">
        <v>540</v>
      </c>
      <c r="AB465" s="42" t="s">
        <v>540</v>
      </c>
      <c r="AC465" s="40"/>
      <c r="AD465" s="43">
        <v>192.68</v>
      </c>
      <c r="AE465" s="39" t="s">
        <v>547</v>
      </c>
      <c r="AF465" s="39">
        <v>-14.743362831858409</v>
      </c>
      <c r="AG465" s="43" t="s">
        <v>539</v>
      </c>
      <c r="AH465" s="43">
        <v>-544.29999999999995</v>
      </c>
      <c r="AI465" s="43">
        <v>226</v>
      </c>
      <c r="AJ465" s="39" t="s">
        <v>547</v>
      </c>
      <c r="AK465" s="39" t="s">
        <v>539</v>
      </c>
      <c r="AL465" s="44"/>
      <c r="AM465" s="43">
        <v>192.68</v>
      </c>
      <c r="AN465" s="39" t="s">
        <v>547</v>
      </c>
      <c r="AO465" s="39">
        <v>-14.364444444444446</v>
      </c>
      <c r="AP465" s="43" t="s">
        <v>539</v>
      </c>
      <c r="AQ465" s="43">
        <v>-539.79999999999995</v>
      </c>
      <c r="AR465" s="43">
        <v>225</v>
      </c>
      <c r="AS465" s="39" t="s">
        <v>547</v>
      </c>
      <c r="AT465" s="39" t="s">
        <v>539</v>
      </c>
      <c r="AU465" s="1">
        <v>72934.096483439993</v>
      </c>
    </row>
    <row r="466" spans="2:47" ht="18" customHeight="1" x14ac:dyDescent="0.25">
      <c r="B466" s="2">
        <f>IF(G466=$B$6,MAX(B$7:B465)+1,IF($B$6="Nifty 500 - All Sector",B465+1,0))</f>
        <v>0</v>
      </c>
      <c r="C466" s="36">
        <v>18844</v>
      </c>
      <c r="D466" s="36" t="s">
        <v>485</v>
      </c>
      <c r="E466" s="36" t="s">
        <v>533</v>
      </c>
      <c r="F466" s="36" t="s">
        <v>1018</v>
      </c>
      <c r="G466" s="36" t="s">
        <v>621</v>
      </c>
      <c r="H466" s="36" t="s">
        <v>535</v>
      </c>
      <c r="I466" s="37" t="s">
        <v>540</v>
      </c>
      <c r="J466" s="38">
        <v>778.60714285714289</v>
      </c>
      <c r="K466" s="39">
        <v>13.319197844996445</v>
      </c>
      <c r="L466" s="39">
        <v>1.8382169525386516</v>
      </c>
      <c r="M466" s="38" t="s">
        <v>539</v>
      </c>
      <c r="N466" s="38">
        <v>687.09199999999998</v>
      </c>
      <c r="O466" s="38">
        <v>764.553</v>
      </c>
      <c r="P466" s="39" t="s">
        <v>540</v>
      </c>
      <c r="Q466" s="39" t="s">
        <v>540</v>
      </c>
      <c r="R466" s="40"/>
      <c r="S466" s="38">
        <v>306.71428571428567</v>
      </c>
      <c r="T466" s="39">
        <v>39.39268840878858</v>
      </c>
      <c r="U466" s="39">
        <v>170.51589367528166</v>
      </c>
      <c r="V466" s="38" t="s">
        <v>539</v>
      </c>
      <c r="W466" s="38">
        <v>258.94799999999998</v>
      </c>
      <c r="X466" s="38">
        <v>324.56599999999997</v>
      </c>
      <c r="Y466" s="39" t="s">
        <v>540</v>
      </c>
      <c r="Z466" s="39" t="s">
        <v>540</v>
      </c>
      <c r="AA466" s="41" t="s">
        <v>540</v>
      </c>
      <c r="AB466" s="42" t="s">
        <v>540</v>
      </c>
      <c r="AC466" s="40"/>
      <c r="AD466" s="43">
        <v>278.0154</v>
      </c>
      <c r="AE466" s="39">
        <v>8.9978632897496738</v>
      </c>
      <c r="AF466" s="39">
        <v>12.804830051489713</v>
      </c>
      <c r="AG466" s="43" t="s">
        <v>539</v>
      </c>
      <c r="AH466" s="43">
        <v>255.065</v>
      </c>
      <c r="AI466" s="43">
        <v>246.45699999999999</v>
      </c>
      <c r="AJ466" s="39" t="s">
        <v>539</v>
      </c>
      <c r="AK466" s="39" t="s">
        <v>539</v>
      </c>
      <c r="AL466" s="44"/>
      <c r="AM466" s="43">
        <v>278.0154</v>
      </c>
      <c r="AN466" s="39">
        <v>8.9978632897496738</v>
      </c>
      <c r="AO466" s="39">
        <v>12.804830051489713</v>
      </c>
      <c r="AP466" s="43" t="s">
        <v>539</v>
      </c>
      <c r="AQ466" s="43">
        <v>255.065</v>
      </c>
      <c r="AR466" s="43">
        <v>246.45699999999999</v>
      </c>
      <c r="AS466" s="39" t="s">
        <v>539</v>
      </c>
      <c r="AT466" s="39" t="s">
        <v>539</v>
      </c>
      <c r="AU466" s="1">
        <v>66628.458752999999</v>
      </c>
    </row>
    <row r="467" spans="2:47" ht="18" customHeight="1" x14ac:dyDescent="0.25">
      <c r="B467" s="2">
        <f>IF(G467=$B$6,MAX(B$7:B466)+1,IF($B$6="Nifty 500 - All Sector",B466+1,0))</f>
        <v>0</v>
      </c>
      <c r="C467" s="36">
        <v>23401</v>
      </c>
      <c r="D467" s="36" t="s">
        <v>486</v>
      </c>
      <c r="E467" s="36" t="s">
        <v>533</v>
      </c>
      <c r="F467" s="36" t="s">
        <v>1019</v>
      </c>
      <c r="G467" s="36" t="s">
        <v>621</v>
      </c>
      <c r="H467" s="36" t="s">
        <v>535</v>
      </c>
      <c r="I467" s="37" t="s">
        <v>540</v>
      </c>
      <c r="J467" s="38">
        <v>1432.4</v>
      </c>
      <c r="K467" s="39">
        <v>12.918102055134684</v>
      </c>
      <c r="L467" s="39">
        <v>-1.1778081949840979</v>
      </c>
      <c r="M467" s="38" t="s">
        <v>539</v>
      </c>
      <c r="N467" s="38">
        <v>1268.53</v>
      </c>
      <c r="O467" s="38">
        <v>1449.472</v>
      </c>
      <c r="P467" s="39" t="s">
        <v>540</v>
      </c>
      <c r="Q467" s="39" t="s">
        <v>540</v>
      </c>
      <c r="R467" s="40"/>
      <c r="S467" s="38">
        <v>455.7</v>
      </c>
      <c r="T467" s="39">
        <v>31.813739179000279</v>
      </c>
      <c r="U467" s="39">
        <v>145.88402014435786</v>
      </c>
      <c r="V467" s="38" t="s">
        <v>539</v>
      </c>
      <c r="W467" s="38">
        <v>385.06099999999998</v>
      </c>
      <c r="X467" s="38">
        <v>465.471</v>
      </c>
      <c r="Y467" s="39" t="s">
        <v>540</v>
      </c>
      <c r="Z467" s="39" t="s">
        <v>540</v>
      </c>
      <c r="AA467" s="41" t="s">
        <v>540</v>
      </c>
      <c r="AB467" s="42" t="s">
        <v>540</v>
      </c>
      <c r="AC467" s="40"/>
      <c r="AD467" s="43">
        <v>402.9</v>
      </c>
      <c r="AE467" s="39">
        <v>12.558563139235691</v>
      </c>
      <c r="AF467" s="39">
        <v>2.1329020548257693</v>
      </c>
      <c r="AG467" s="43" t="s">
        <v>539</v>
      </c>
      <c r="AH467" s="43">
        <v>357.947</v>
      </c>
      <c r="AI467" s="43">
        <v>394.48599999999999</v>
      </c>
      <c r="AJ467" s="39" t="s">
        <v>539</v>
      </c>
      <c r="AK467" s="39" t="s">
        <v>539</v>
      </c>
      <c r="AL467" s="44"/>
      <c r="AM467" s="43">
        <v>402.9</v>
      </c>
      <c r="AN467" s="39">
        <v>12.558563139235691</v>
      </c>
      <c r="AO467" s="39">
        <v>2.1329020548257693</v>
      </c>
      <c r="AP467" s="43" t="s">
        <v>539</v>
      </c>
      <c r="AQ467" s="43">
        <v>357.947</v>
      </c>
      <c r="AR467" s="43">
        <v>394.48599999999999</v>
      </c>
      <c r="AS467" s="39" t="s">
        <v>539</v>
      </c>
      <c r="AT467" s="39" t="s">
        <v>539</v>
      </c>
      <c r="AU467" s="1">
        <v>44268</v>
      </c>
    </row>
    <row r="468" spans="2:47" ht="18" customHeight="1" x14ac:dyDescent="0.25">
      <c r="B468" s="2">
        <f>IF(G468=$B$6,MAX(B$7:B467)+1,IF($B$6="Nifty 500 - All Sector",B467+1,0))</f>
        <v>0</v>
      </c>
      <c r="C468" s="36">
        <v>77972</v>
      </c>
      <c r="D468" s="36" t="s">
        <v>487</v>
      </c>
      <c r="E468" s="36" t="s">
        <v>527</v>
      </c>
      <c r="F468" s="36" t="s">
        <v>1020</v>
      </c>
      <c r="G468" s="36" t="s">
        <v>621</v>
      </c>
      <c r="H468" s="36" t="s">
        <v>529</v>
      </c>
      <c r="I468" s="37" t="s">
        <v>540</v>
      </c>
      <c r="J468" s="38">
        <v>832.95</v>
      </c>
      <c r="K468" s="39" t="s">
        <v>540</v>
      </c>
      <c r="L468" s="39">
        <v>-23.047359663863997</v>
      </c>
      <c r="M468" s="38" t="s">
        <v>539</v>
      </c>
      <c r="N468" s="38">
        <v>0</v>
      </c>
      <c r="O468" s="38">
        <v>1082.4190000000001</v>
      </c>
      <c r="P468" s="39" t="s">
        <v>540</v>
      </c>
      <c r="Q468" s="39" t="s">
        <v>540</v>
      </c>
      <c r="R468" s="40"/>
      <c r="S468" s="38">
        <v>-17.75</v>
      </c>
      <c r="T468" s="39">
        <v>-2.130980250915421</v>
      </c>
      <c r="U468" s="39" t="s">
        <v>540</v>
      </c>
      <c r="V468" s="38" t="s">
        <v>539</v>
      </c>
      <c r="W468" s="38" t="s">
        <v>540</v>
      </c>
      <c r="X468" s="38">
        <v>236.399</v>
      </c>
      <c r="Y468" s="39" t="s">
        <v>540</v>
      </c>
      <c r="Z468" s="39" t="s">
        <v>540</v>
      </c>
      <c r="AA468" s="41" t="s">
        <v>540</v>
      </c>
      <c r="AB468" s="42" t="s">
        <v>540</v>
      </c>
      <c r="AC468" s="40"/>
      <c r="AD468" s="43" t="s">
        <v>540</v>
      </c>
      <c r="AE468" s="39" t="s">
        <v>539</v>
      </c>
      <c r="AF468" s="39" t="s">
        <v>539</v>
      </c>
      <c r="AG468" s="43" t="s">
        <v>539</v>
      </c>
      <c r="AH468" s="43">
        <v>0</v>
      </c>
      <c r="AI468" s="43">
        <v>102.117</v>
      </c>
      <c r="AJ468" s="39" t="s">
        <v>539</v>
      </c>
      <c r="AK468" s="39" t="s">
        <v>539</v>
      </c>
      <c r="AL468" s="44"/>
      <c r="AM468" s="43" t="s">
        <v>539</v>
      </c>
      <c r="AN468" s="39" t="s">
        <v>539</v>
      </c>
      <c r="AO468" s="39" t="s">
        <v>539</v>
      </c>
      <c r="AP468" s="43" t="s">
        <v>539</v>
      </c>
      <c r="AQ468" s="43">
        <v>0</v>
      </c>
      <c r="AR468" s="43">
        <v>100.51600000000001</v>
      </c>
      <c r="AS468" s="39" t="s">
        <v>539</v>
      </c>
      <c r="AT468" s="39" t="s">
        <v>539</v>
      </c>
      <c r="AU468" s="1">
        <v>30126.860487499998</v>
      </c>
    </row>
    <row r="469" spans="2:47" ht="18" customHeight="1" x14ac:dyDescent="0.25">
      <c r="B469" s="2">
        <f>IF(G469=$B$6,MAX(B$7:B468)+1,IF($B$6="Nifty 500 - All Sector",B468+1,0))</f>
        <v>0</v>
      </c>
      <c r="C469" s="36">
        <v>73060</v>
      </c>
      <c r="D469" s="36" t="s">
        <v>488</v>
      </c>
      <c r="E469" s="36" t="s">
        <v>527</v>
      </c>
      <c r="F469" s="36" t="s">
        <v>1021</v>
      </c>
      <c r="G469" s="36" t="s">
        <v>621</v>
      </c>
      <c r="H469" s="36" t="s">
        <v>529</v>
      </c>
      <c r="I469" s="37" t="s">
        <v>540</v>
      </c>
      <c r="J469" s="38">
        <v>717.38571428571424</v>
      </c>
      <c r="K469" s="39">
        <v>19.117396946740527</v>
      </c>
      <c r="L469" s="39">
        <v>-1.2305075066942894E-2</v>
      </c>
      <c r="M469" s="38" t="s">
        <v>539</v>
      </c>
      <c r="N469" s="38">
        <v>602.25099999999998</v>
      </c>
      <c r="O469" s="38">
        <v>717.47400000000005</v>
      </c>
      <c r="P469" s="39" t="s">
        <v>540</v>
      </c>
      <c r="Q469" s="39" t="s">
        <v>540</v>
      </c>
      <c r="R469" s="40"/>
      <c r="S469" s="38">
        <v>162.06</v>
      </c>
      <c r="T469" s="39">
        <v>22.590357846944265</v>
      </c>
      <c r="U469" s="39">
        <v>34.581196823256377</v>
      </c>
      <c r="V469" s="38" t="s">
        <v>539</v>
      </c>
      <c r="W469" s="38">
        <v>133.96799999999999</v>
      </c>
      <c r="X469" s="38">
        <v>163.04599999999999</v>
      </c>
      <c r="Y469" s="39" t="s">
        <v>540</v>
      </c>
      <c r="Z469" s="39" t="s">
        <v>540</v>
      </c>
      <c r="AA469" s="41" t="s">
        <v>540</v>
      </c>
      <c r="AB469" s="42" t="s">
        <v>540</v>
      </c>
      <c r="AC469" s="40"/>
      <c r="AD469" s="43">
        <v>121.45</v>
      </c>
      <c r="AE469" s="39">
        <v>17.838257410372105</v>
      </c>
      <c r="AF469" s="39">
        <v>1.7817035969293737</v>
      </c>
      <c r="AG469" s="43" t="s">
        <v>539</v>
      </c>
      <c r="AH469" s="43">
        <v>103.065</v>
      </c>
      <c r="AI469" s="43">
        <v>119.324</v>
      </c>
      <c r="AJ469" s="39" t="s">
        <v>539</v>
      </c>
      <c r="AK469" s="39" t="s">
        <v>539</v>
      </c>
      <c r="AL469" s="44"/>
      <c r="AM469" s="43">
        <v>121.45</v>
      </c>
      <c r="AN469" s="39">
        <v>17.838257410372105</v>
      </c>
      <c r="AO469" s="39">
        <v>1.7817035969293737</v>
      </c>
      <c r="AP469" s="43" t="s">
        <v>539</v>
      </c>
      <c r="AQ469" s="43">
        <v>103.065</v>
      </c>
      <c r="AR469" s="43">
        <v>119.324</v>
      </c>
      <c r="AS469" s="39" t="s">
        <v>539</v>
      </c>
      <c r="AT469" s="39" t="s">
        <v>539</v>
      </c>
      <c r="AU469" s="1">
        <v>19975.486980000001</v>
      </c>
    </row>
    <row r="470" spans="2:47" ht="18" customHeight="1" x14ac:dyDescent="0.25">
      <c r="B470" s="2">
        <f>IF(G470=$B$6,MAX(B$7:B469)+1,IF($B$6="Nifty 500 - All Sector",B469+1,0))</f>
        <v>0</v>
      </c>
      <c r="C470" s="36">
        <v>68857</v>
      </c>
      <c r="D470" s="36" t="s">
        <v>489</v>
      </c>
      <c r="E470" s="36" t="s">
        <v>527</v>
      </c>
      <c r="F470" s="36" t="s">
        <v>1022</v>
      </c>
      <c r="G470" s="36" t="s">
        <v>621</v>
      </c>
      <c r="H470" s="36" t="s">
        <v>529</v>
      </c>
      <c r="I470" s="37" t="s">
        <v>540</v>
      </c>
      <c r="J470" s="38">
        <v>400.5</v>
      </c>
      <c r="K470" s="39" t="s">
        <v>540</v>
      </c>
      <c r="L470" s="39">
        <v>4.6566321730950211</v>
      </c>
      <c r="M470" s="38" t="s">
        <v>539</v>
      </c>
      <c r="N470" s="38">
        <v>0</v>
      </c>
      <c r="O470" s="38">
        <v>382.68</v>
      </c>
      <c r="P470" s="39" t="s">
        <v>540</v>
      </c>
      <c r="Q470" s="39" t="s">
        <v>540</v>
      </c>
      <c r="R470" s="40"/>
      <c r="S470" s="38">
        <v>-93</v>
      </c>
      <c r="T470" s="39">
        <v>-23.220973782771537</v>
      </c>
      <c r="U470" s="39" t="s">
        <v>540</v>
      </c>
      <c r="V470" s="38" t="s">
        <v>539</v>
      </c>
      <c r="W470" s="38" t="s">
        <v>540</v>
      </c>
      <c r="X470" s="38">
        <v>-35.309999999999903</v>
      </c>
      <c r="Y470" s="39" t="s">
        <v>540</v>
      </c>
      <c r="Z470" s="39" t="s">
        <v>540</v>
      </c>
      <c r="AA470" s="41" t="s">
        <v>540</v>
      </c>
      <c r="AB470" s="42" t="s">
        <v>540</v>
      </c>
      <c r="AC470" s="40"/>
      <c r="AD470" s="43">
        <v>-68</v>
      </c>
      <c r="AE470" s="39" t="s">
        <v>539</v>
      </c>
      <c r="AF470" s="39" t="s">
        <v>548</v>
      </c>
      <c r="AG470" s="43" t="s">
        <v>539</v>
      </c>
      <c r="AH470" s="43">
        <v>0</v>
      </c>
      <c r="AI470" s="43">
        <v>-14.2599999999999</v>
      </c>
      <c r="AJ470" s="39" t="s">
        <v>539</v>
      </c>
      <c r="AK470" s="39" t="s">
        <v>547</v>
      </c>
      <c r="AL470" s="44"/>
      <c r="AM470" s="43">
        <v>-68</v>
      </c>
      <c r="AN470" s="39" t="s">
        <v>539</v>
      </c>
      <c r="AO470" s="39" t="s">
        <v>548</v>
      </c>
      <c r="AP470" s="43" t="s">
        <v>539</v>
      </c>
      <c r="AQ470" s="43">
        <v>0</v>
      </c>
      <c r="AR470" s="43">
        <v>-21.26</v>
      </c>
      <c r="AS470" s="39" t="s">
        <v>539</v>
      </c>
      <c r="AT470" s="39" t="s">
        <v>547</v>
      </c>
      <c r="AU470" s="1">
        <v>21012.210715875</v>
      </c>
    </row>
    <row r="471" spans="2:47" ht="18" customHeight="1" x14ac:dyDescent="0.25">
      <c r="B471" s="2">
        <f>IF(G471=$B$6,MAX(B$7:B470)+1,IF($B$6="Nifty 500 - All Sector",B470+1,0))</f>
        <v>0</v>
      </c>
      <c r="C471" s="36">
        <v>68842</v>
      </c>
      <c r="D471" s="36" t="s">
        <v>490</v>
      </c>
      <c r="E471" s="36" t="s">
        <v>527</v>
      </c>
      <c r="F471" s="36" t="s">
        <v>1023</v>
      </c>
      <c r="G471" s="36" t="s">
        <v>621</v>
      </c>
      <c r="H471" s="36" t="s">
        <v>529</v>
      </c>
      <c r="I471" s="37" t="s">
        <v>540</v>
      </c>
      <c r="J471" s="38">
        <v>400.69090909090909</v>
      </c>
      <c r="K471" s="39">
        <v>12.838893013491703</v>
      </c>
      <c r="L471" s="39">
        <v>-0.2263672582397791</v>
      </c>
      <c r="M471" s="38" t="s">
        <v>539</v>
      </c>
      <c r="N471" s="38">
        <v>355.1</v>
      </c>
      <c r="O471" s="38">
        <v>401.6</v>
      </c>
      <c r="P471" s="39" t="s">
        <v>540</v>
      </c>
      <c r="Q471" s="39" t="s">
        <v>540</v>
      </c>
      <c r="R471" s="40"/>
      <c r="S471" s="38">
        <v>130.57272727272726</v>
      </c>
      <c r="T471" s="39">
        <v>32.586895362555587</v>
      </c>
      <c r="U471" s="39">
        <v>-413.51547641692787</v>
      </c>
      <c r="V471" s="38" t="s">
        <v>539</v>
      </c>
      <c r="W471" s="38">
        <v>130.4</v>
      </c>
      <c r="X471" s="38">
        <v>134.19999999999999</v>
      </c>
      <c r="Y471" s="39" t="s">
        <v>540</v>
      </c>
      <c r="Z471" s="39" t="s">
        <v>540</v>
      </c>
      <c r="AA471" s="41" t="s">
        <v>540</v>
      </c>
      <c r="AB471" s="42" t="s">
        <v>540</v>
      </c>
      <c r="AC471" s="40"/>
      <c r="AD471" s="43">
        <v>110.56359999999999</v>
      </c>
      <c r="AE471" s="39">
        <v>-42.324673969744396</v>
      </c>
      <c r="AF471" s="39">
        <v>-45.508329226219814</v>
      </c>
      <c r="AG471" s="43" t="s">
        <v>539</v>
      </c>
      <c r="AH471" s="43">
        <v>191.7</v>
      </c>
      <c r="AI471" s="43">
        <v>202.9</v>
      </c>
      <c r="AJ471" s="39" t="s">
        <v>539</v>
      </c>
      <c r="AK471" s="39" t="s">
        <v>539</v>
      </c>
      <c r="AL471" s="44"/>
      <c r="AM471" s="43">
        <v>110.56359999999999</v>
      </c>
      <c r="AN471" s="39">
        <v>-38.779844961240308</v>
      </c>
      <c r="AO471" s="39">
        <v>-41.283271375464693</v>
      </c>
      <c r="AP471" s="43" t="s">
        <v>539</v>
      </c>
      <c r="AQ471" s="43">
        <v>180.6</v>
      </c>
      <c r="AR471" s="43">
        <v>188.3</v>
      </c>
      <c r="AS471" s="39" t="s">
        <v>539</v>
      </c>
      <c r="AT471" s="39" t="s">
        <v>539</v>
      </c>
      <c r="AU471" s="1">
        <v>12738.17494026</v>
      </c>
    </row>
    <row r="472" spans="2:47" ht="18" customHeight="1" x14ac:dyDescent="0.25">
      <c r="B472" s="2">
        <f>IF(G472=$B$6,MAX(B$7:B471)+1,IF($B$6="Nifty 500 - All Sector",B471+1,0))</f>
        <v>0</v>
      </c>
      <c r="C472" s="36">
        <v>69551</v>
      </c>
      <c r="D472" s="36" t="s">
        <v>491</v>
      </c>
      <c r="E472" s="36" t="s">
        <v>527</v>
      </c>
      <c r="F472" s="36" t="s">
        <v>1024</v>
      </c>
      <c r="G472" s="36" t="s">
        <v>621</v>
      </c>
      <c r="H472" s="36" t="s">
        <v>529</v>
      </c>
      <c r="I472" s="37" t="s">
        <v>540</v>
      </c>
      <c r="J472" s="38">
        <v>745.4571428571428</v>
      </c>
      <c r="K472" s="39">
        <v>67.094527111472857</v>
      </c>
      <c r="L472" s="39">
        <v>-4.9564288009232289</v>
      </c>
      <c r="M472" s="38" t="s">
        <v>539</v>
      </c>
      <c r="N472" s="38">
        <v>446.12900000000002</v>
      </c>
      <c r="O472" s="38">
        <v>784.33199999999999</v>
      </c>
      <c r="P472" s="39" t="s">
        <v>540</v>
      </c>
      <c r="Q472" s="39" t="s">
        <v>540</v>
      </c>
      <c r="R472" s="40"/>
      <c r="S472" s="38">
        <v>112.85</v>
      </c>
      <c r="T472" s="39">
        <v>15.138361887240812</v>
      </c>
      <c r="U472" s="39">
        <v>63.134710003800798</v>
      </c>
      <c r="V472" s="38" t="s">
        <v>539</v>
      </c>
      <c r="W472" s="38">
        <v>64.72</v>
      </c>
      <c r="X472" s="38">
        <v>100.379</v>
      </c>
      <c r="Y472" s="39" t="s">
        <v>540</v>
      </c>
      <c r="Z472" s="39" t="s">
        <v>540</v>
      </c>
      <c r="AA472" s="41" t="s">
        <v>540</v>
      </c>
      <c r="AB472" s="42" t="s">
        <v>540</v>
      </c>
      <c r="AC472" s="40"/>
      <c r="AD472" s="43">
        <v>58.9</v>
      </c>
      <c r="AE472" s="39">
        <v>-1.3580498404297536E-2</v>
      </c>
      <c r="AF472" s="39">
        <v>9.6997690531177803</v>
      </c>
      <c r="AG472" s="43" t="s">
        <v>539</v>
      </c>
      <c r="AH472" s="43">
        <v>58.908000000000001</v>
      </c>
      <c r="AI472" s="43">
        <v>53.692</v>
      </c>
      <c r="AJ472" s="39" t="s">
        <v>539</v>
      </c>
      <c r="AK472" s="39" t="s">
        <v>539</v>
      </c>
      <c r="AL472" s="44"/>
      <c r="AM472" s="43">
        <v>58.9</v>
      </c>
      <c r="AN472" s="39">
        <v>-1.3580498404297536E-2</v>
      </c>
      <c r="AO472" s="39">
        <v>9.6997690531177803</v>
      </c>
      <c r="AP472" s="43" t="s">
        <v>539</v>
      </c>
      <c r="AQ472" s="43">
        <v>58.908000000000001</v>
      </c>
      <c r="AR472" s="43">
        <v>53.692</v>
      </c>
      <c r="AS472" s="39" t="s">
        <v>539</v>
      </c>
      <c r="AT472" s="39" t="s">
        <v>539</v>
      </c>
      <c r="AU472" s="1">
        <v>13311.233869395001</v>
      </c>
    </row>
    <row r="473" spans="2:47" ht="18" customHeight="1" x14ac:dyDescent="0.25">
      <c r="B473" s="2">
        <f>IF(G473=$B$6,MAX(B$7:B472)+1,IF($B$6="Nifty 500 - All Sector",B472+1,0))</f>
        <v>0</v>
      </c>
      <c r="C473" s="36">
        <v>27655</v>
      </c>
      <c r="D473" s="36" t="s">
        <v>492</v>
      </c>
      <c r="E473" s="36" t="s">
        <v>527</v>
      </c>
      <c r="F473" s="36" t="s">
        <v>1025</v>
      </c>
      <c r="G473" s="36" t="s">
        <v>602</v>
      </c>
      <c r="H473" s="36" t="s">
        <v>535</v>
      </c>
      <c r="I473" s="37" t="s">
        <v>540</v>
      </c>
      <c r="J473" s="38">
        <v>2088.1090909090908</v>
      </c>
      <c r="K473" s="39">
        <v>24.188717194545649</v>
      </c>
      <c r="L473" s="39">
        <v>35.459558281484973</v>
      </c>
      <c r="M473" s="38" t="s">
        <v>539</v>
      </c>
      <c r="N473" s="38">
        <v>1681.4</v>
      </c>
      <c r="O473" s="38">
        <v>1541.5</v>
      </c>
      <c r="P473" s="39" t="s">
        <v>540</v>
      </c>
      <c r="Q473" s="39" t="s">
        <v>540</v>
      </c>
      <c r="R473" s="40"/>
      <c r="S473" s="38">
        <v>387.71999999999997</v>
      </c>
      <c r="T473" s="39">
        <v>18.567995402539054</v>
      </c>
      <c r="U473" s="39">
        <v>61.272003677243347</v>
      </c>
      <c r="V473" s="38" t="s">
        <v>539</v>
      </c>
      <c r="W473" s="38">
        <v>301.89999999999998</v>
      </c>
      <c r="X473" s="38">
        <v>237.3</v>
      </c>
      <c r="Y473" s="39" t="s">
        <v>540</v>
      </c>
      <c r="Z473" s="39" t="s">
        <v>540</v>
      </c>
      <c r="AA473" s="41" t="s">
        <v>540</v>
      </c>
      <c r="AB473" s="42" t="s">
        <v>540</v>
      </c>
      <c r="AC473" s="40"/>
      <c r="AD473" s="43">
        <v>234.1</v>
      </c>
      <c r="AE473" s="39">
        <v>31.516853932584276</v>
      </c>
      <c r="AF473" s="39">
        <v>117.3630454967502</v>
      </c>
      <c r="AG473" s="43" t="s">
        <v>539</v>
      </c>
      <c r="AH473" s="43">
        <v>178</v>
      </c>
      <c r="AI473" s="43">
        <v>107.7</v>
      </c>
      <c r="AJ473" s="39" t="s">
        <v>539</v>
      </c>
      <c r="AK473" s="39" t="s">
        <v>539</v>
      </c>
      <c r="AL473" s="44"/>
      <c r="AM473" s="43">
        <v>234.1</v>
      </c>
      <c r="AN473" s="39">
        <v>30.563301728945881</v>
      </c>
      <c r="AO473" s="39">
        <v>117.3630454967502</v>
      </c>
      <c r="AP473" s="43" t="s">
        <v>539</v>
      </c>
      <c r="AQ473" s="43">
        <v>179.3</v>
      </c>
      <c r="AR473" s="43">
        <v>107.7</v>
      </c>
      <c r="AS473" s="39" t="s">
        <v>539</v>
      </c>
      <c r="AT473" s="39" t="s">
        <v>539</v>
      </c>
      <c r="AU473" s="1">
        <v>43726.843780695002</v>
      </c>
    </row>
    <row r="474" spans="2:47" ht="18" customHeight="1" x14ac:dyDescent="0.25">
      <c r="B474" s="2">
        <f>IF(G474=$B$6,MAX(B$7:B473)+1,IF($B$6="Nifty 500 - All Sector",B473+1,0))</f>
        <v>0</v>
      </c>
      <c r="C474" s="36">
        <v>15542</v>
      </c>
      <c r="D474" s="36" t="s">
        <v>493</v>
      </c>
      <c r="E474" s="36" t="s">
        <v>527</v>
      </c>
      <c r="F474" s="36" t="s">
        <v>1026</v>
      </c>
      <c r="G474" s="36" t="s">
        <v>546</v>
      </c>
      <c r="H474" s="36" t="s">
        <v>532</v>
      </c>
      <c r="I474" s="37" t="s">
        <v>540</v>
      </c>
      <c r="J474" s="38">
        <v>54858.137499999997</v>
      </c>
      <c r="K474" s="39">
        <v>14.583315927329243</v>
      </c>
      <c r="L474" s="39">
        <v>1.6237708774841764</v>
      </c>
      <c r="M474" s="38" t="s">
        <v>539</v>
      </c>
      <c r="N474" s="38">
        <v>47876.2</v>
      </c>
      <c r="O474" s="38">
        <v>53981.599999999999</v>
      </c>
      <c r="P474" s="39" t="s">
        <v>540</v>
      </c>
      <c r="Q474" s="39" t="s">
        <v>540</v>
      </c>
      <c r="R474" s="40"/>
      <c r="S474" s="38">
        <v>31800.43076923077</v>
      </c>
      <c r="T474" s="39">
        <v>57.968484200235146</v>
      </c>
      <c r="U474" s="39">
        <v>155.46501866751754</v>
      </c>
      <c r="V474" s="38" t="s">
        <v>539</v>
      </c>
      <c r="W474" s="38">
        <v>27008.799999999999</v>
      </c>
      <c r="X474" s="38">
        <v>30782.799999999999</v>
      </c>
      <c r="Y474" s="39" t="s">
        <v>540</v>
      </c>
      <c r="Z474" s="39" t="s">
        <v>540</v>
      </c>
      <c r="AA474" s="41" t="s">
        <v>540</v>
      </c>
      <c r="AB474" s="42" t="s">
        <v>540</v>
      </c>
      <c r="AC474" s="40"/>
      <c r="AD474" s="43">
        <v>7576.3249999999998</v>
      </c>
      <c r="AE474" s="39">
        <v>-38.989660253984106</v>
      </c>
      <c r="AF474" s="39">
        <v>-9.660466225481434</v>
      </c>
      <c r="AG474" s="43" t="s">
        <v>539</v>
      </c>
      <c r="AH474" s="43">
        <v>12418.1</v>
      </c>
      <c r="AI474" s="43">
        <v>8386.5</v>
      </c>
      <c r="AJ474" s="39" t="s">
        <v>539</v>
      </c>
      <c r="AK474" s="39" t="s">
        <v>539</v>
      </c>
      <c r="AL474" s="44"/>
      <c r="AM474" s="43">
        <v>7576.3249999999998</v>
      </c>
      <c r="AN474" s="39">
        <v>-31.260547279028827</v>
      </c>
      <c r="AO474" s="39">
        <v>14.264761330216412</v>
      </c>
      <c r="AP474" s="43" t="s">
        <v>539</v>
      </c>
      <c r="AQ474" s="43">
        <v>11021.8</v>
      </c>
      <c r="AR474" s="43">
        <v>6630.5</v>
      </c>
      <c r="AS474" s="39" t="s">
        <v>539</v>
      </c>
      <c r="AT474" s="39" t="s">
        <v>539</v>
      </c>
      <c r="AU474" s="1">
        <v>1130845.08958945</v>
      </c>
    </row>
    <row r="475" spans="2:47" ht="18" customHeight="1" x14ac:dyDescent="0.25">
      <c r="B475" s="2">
        <f>IF(G475=$B$6,MAX(B$7:B474)+1,IF($B$6="Nifty 500 - All Sector",B474+1,0))</f>
        <v>0</v>
      </c>
      <c r="C475" s="36">
        <v>23040</v>
      </c>
      <c r="D475" s="36" t="s">
        <v>494</v>
      </c>
      <c r="E475" s="36" t="s">
        <v>527</v>
      </c>
      <c r="F475" s="36" t="s">
        <v>1027</v>
      </c>
      <c r="G475" s="36" t="s">
        <v>546</v>
      </c>
      <c r="H475" s="36" t="s">
        <v>535</v>
      </c>
      <c r="I475" s="37" t="s">
        <v>540</v>
      </c>
      <c r="J475" s="38">
        <v>11596.966666666667</v>
      </c>
      <c r="K475" s="39">
        <v>5.2977406516245162</v>
      </c>
      <c r="L475" s="39">
        <v>2.4195590096853126</v>
      </c>
      <c r="M475" s="38" t="s">
        <v>539</v>
      </c>
      <c r="N475" s="38">
        <v>11013.5</v>
      </c>
      <c r="O475" s="38">
        <v>11323</v>
      </c>
      <c r="P475" s="39" t="s">
        <v>540</v>
      </c>
      <c r="Q475" s="39" t="s">
        <v>540</v>
      </c>
      <c r="R475" s="40"/>
      <c r="S475" s="38">
        <v>4853.9333333333334</v>
      </c>
      <c r="T475" s="39">
        <v>41.855197767232234</v>
      </c>
      <c r="U475" s="39">
        <v>-45.378666096952003</v>
      </c>
      <c r="V475" s="38" t="s">
        <v>539</v>
      </c>
      <c r="W475" s="38">
        <v>4659.7</v>
      </c>
      <c r="X475" s="38">
        <v>4817</v>
      </c>
      <c r="Y475" s="39" t="s">
        <v>540</v>
      </c>
      <c r="Z475" s="39" t="s">
        <v>540</v>
      </c>
      <c r="AA475" s="41" t="s">
        <v>540</v>
      </c>
      <c r="AB475" s="42" t="s">
        <v>540</v>
      </c>
      <c r="AC475" s="40"/>
      <c r="AD475" s="43">
        <v>-6181.9</v>
      </c>
      <c r="AE475" s="39" t="s">
        <v>548</v>
      </c>
      <c r="AF475" s="39" t="s">
        <v>548</v>
      </c>
      <c r="AG475" s="43" t="s">
        <v>539</v>
      </c>
      <c r="AH475" s="43">
        <v>-7168.1</v>
      </c>
      <c r="AI475" s="43">
        <v>-5286</v>
      </c>
      <c r="AJ475" s="39" t="s">
        <v>547</v>
      </c>
      <c r="AK475" s="39" t="s">
        <v>547</v>
      </c>
      <c r="AL475" s="44"/>
      <c r="AM475" s="43">
        <v>-6181.9</v>
      </c>
      <c r="AN475" s="39" t="s">
        <v>548</v>
      </c>
      <c r="AO475" s="39" t="s">
        <v>548</v>
      </c>
      <c r="AP475" s="43" t="s">
        <v>539</v>
      </c>
      <c r="AQ475" s="43">
        <v>-7166.1</v>
      </c>
      <c r="AR475" s="43">
        <v>-5286</v>
      </c>
      <c r="AS475" s="39" t="s">
        <v>547</v>
      </c>
      <c r="AT475" s="39" t="s">
        <v>547</v>
      </c>
      <c r="AU475" s="1">
        <v>102384.168075945</v>
      </c>
    </row>
    <row r="476" spans="2:47" ht="18" customHeight="1" x14ac:dyDescent="0.25">
      <c r="B476" s="2">
        <f>IF(G476=$B$6,MAX(B$7:B475)+1,IF($B$6="Nifty 500 - All Sector",B475+1,0))</f>
        <v>0</v>
      </c>
      <c r="C476" s="36">
        <v>15330</v>
      </c>
      <c r="D476" s="36" t="s">
        <v>495</v>
      </c>
      <c r="E476" s="36" t="s">
        <v>533</v>
      </c>
      <c r="F476" s="36" t="s">
        <v>1028</v>
      </c>
      <c r="G476" s="36" t="s">
        <v>546</v>
      </c>
      <c r="H476" s="36" t="s">
        <v>535</v>
      </c>
      <c r="I476" s="37" t="s">
        <v>540</v>
      </c>
      <c r="J476" s="38">
        <v>2414.35</v>
      </c>
      <c r="K476" s="39">
        <v>5.4761904761904789</v>
      </c>
      <c r="L476" s="39">
        <v>2.3116365793711235</v>
      </c>
      <c r="M476" s="38" t="s">
        <v>539</v>
      </c>
      <c r="N476" s="38">
        <v>2289</v>
      </c>
      <c r="O476" s="38">
        <v>2359.8000000000002</v>
      </c>
      <c r="P476" s="39" t="s">
        <v>540</v>
      </c>
      <c r="Q476" s="39" t="s">
        <v>540</v>
      </c>
      <c r="R476" s="40"/>
      <c r="S476" s="38">
        <v>1284.3</v>
      </c>
      <c r="T476" s="39">
        <v>53.194441568123928</v>
      </c>
      <c r="U476" s="39">
        <v>217.65298162672266</v>
      </c>
      <c r="V476" s="38" t="s">
        <v>539</v>
      </c>
      <c r="W476" s="38">
        <v>1167.8</v>
      </c>
      <c r="X476" s="38">
        <v>1254.4000000000001</v>
      </c>
      <c r="Y476" s="39" t="s">
        <v>540</v>
      </c>
      <c r="Z476" s="39" t="s">
        <v>540</v>
      </c>
      <c r="AA476" s="41" t="s">
        <v>540</v>
      </c>
      <c r="AB476" s="42" t="s">
        <v>540</v>
      </c>
      <c r="AC476" s="40"/>
      <c r="AD476" s="43">
        <v>463.86670000000004</v>
      </c>
      <c r="AE476" s="39">
        <v>-0.96782664389409856</v>
      </c>
      <c r="AF476" s="39">
        <v>-2.0758496938990789</v>
      </c>
      <c r="AG476" s="43" t="s">
        <v>539</v>
      </c>
      <c r="AH476" s="43">
        <v>468.4</v>
      </c>
      <c r="AI476" s="43">
        <v>473.7</v>
      </c>
      <c r="AJ476" s="39" t="s">
        <v>539</v>
      </c>
      <c r="AK476" s="39" t="s">
        <v>539</v>
      </c>
      <c r="AL476" s="44"/>
      <c r="AM476" s="43">
        <v>463.86670000000004</v>
      </c>
      <c r="AN476" s="39">
        <v>-0.96782664389409856</v>
      </c>
      <c r="AO476" s="39">
        <v>-2.0758496938990789</v>
      </c>
      <c r="AP476" s="43" t="s">
        <v>539</v>
      </c>
      <c r="AQ476" s="43">
        <v>468.4</v>
      </c>
      <c r="AR476" s="43">
        <v>473.7</v>
      </c>
      <c r="AS476" s="39" t="s">
        <v>539</v>
      </c>
      <c r="AT476" s="39" t="s">
        <v>539</v>
      </c>
      <c r="AU476" s="1">
        <v>77022.5</v>
      </c>
    </row>
    <row r="477" spans="2:47" ht="18" customHeight="1" x14ac:dyDescent="0.25">
      <c r="B477" s="2">
        <f>IF(G477=$B$6,MAX(B$7:B476)+1,IF($B$6="Nifty 500 - All Sector",B476+1,0))</f>
        <v>0</v>
      </c>
      <c r="C477" s="36">
        <v>22070</v>
      </c>
      <c r="D477" s="36" t="s">
        <v>496</v>
      </c>
      <c r="E477" s="36" t="s">
        <v>527</v>
      </c>
      <c r="F477" s="36" t="s">
        <v>1029</v>
      </c>
      <c r="G477" s="36" t="s">
        <v>546</v>
      </c>
      <c r="H477" s="36" t="s">
        <v>529</v>
      </c>
      <c r="I477" s="37" t="s">
        <v>540</v>
      </c>
      <c r="J477" s="38">
        <v>1621.8</v>
      </c>
      <c r="K477" s="39">
        <v>23.964288990124437</v>
      </c>
      <c r="L477" s="39">
        <v>77.546663747331522</v>
      </c>
      <c r="M477" s="38" t="s">
        <v>539</v>
      </c>
      <c r="N477" s="38">
        <v>1308.28</v>
      </c>
      <c r="O477" s="38">
        <v>913.45</v>
      </c>
      <c r="P477" s="39" t="s">
        <v>540</v>
      </c>
      <c r="Q477" s="39" t="s">
        <v>540</v>
      </c>
      <c r="R477" s="40"/>
      <c r="S477" s="38">
        <v>224.1</v>
      </c>
      <c r="T477" s="39">
        <v>13.81798002219756</v>
      </c>
      <c r="U477" s="39">
        <v>8.773878943393143</v>
      </c>
      <c r="V477" s="38" t="s">
        <v>539</v>
      </c>
      <c r="W477" s="38">
        <v>179.63</v>
      </c>
      <c r="X477" s="38">
        <v>133.43</v>
      </c>
      <c r="Y477" s="39" t="s">
        <v>540</v>
      </c>
      <c r="Z477" s="39" t="s">
        <v>540</v>
      </c>
      <c r="AA477" s="41" t="s">
        <v>540</v>
      </c>
      <c r="AB477" s="42" t="s">
        <v>540</v>
      </c>
      <c r="AC477" s="40"/>
      <c r="AD477" s="43" t="s">
        <v>540</v>
      </c>
      <c r="AE477" s="39" t="s">
        <v>539</v>
      </c>
      <c r="AF477" s="39" t="s">
        <v>539</v>
      </c>
      <c r="AG477" s="43" t="s">
        <v>539</v>
      </c>
      <c r="AH477" s="43">
        <v>113.45</v>
      </c>
      <c r="AI477" s="43">
        <v>62.4</v>
      </c>
      <c r="AJ477" s="39" t="s">
        <v>539</v>
      </c>
      <c r="AK477" s="39" t="s">
        <v>539</v>
      </c>
      <c r="AL477" s="44"/>
      <c r="AM477" s="43" t="s">
        <v>539</v>
      </c>
      <c r="AN477" s="39" t="s">
        <v>539</v>
      </c>
      <c r="AO477" s="39" t="s">
        <v>539</v>
      </c>
      <c r="AP477" s="43" t="s">
        <v>539</v>
      </c>
      <c r="AQ477" s="43">
        <v>113.45</v>
      </c>
      <c r="AR477" s="43">
        <v>62.4</v>
      </c>
      <c r="AS477" s="39" t="s">
        <v>539</v>
      </c>
      <c r="AT477" s="39" t="s">
        <v>539</v>
      </c>
      <c r="AU477" s="1">
        <v>10804.391471655001</v>
      </c>
    </row>
    <row r="478" spans="2:47" ht="18" customHeight="1" x14ac:dyDescent="0.25">
      <c r="B478" s="2">
        <f>IF(G478=$B$6,MAX(B$7:B477)+1,IF($B$6="Nifty 500 - All Sector",B477+1,0))</f>
        <v>0</v>
      </c>
      <c r="C478" s="36">
        <v>21214</v>
      </c>
      <c r="D478" s="36" t="s">
        <v>497</v>
      </c>
      <c r="E478" s="36" t="s">
        <v>527</v>
      </c>
      <c r="F478" s="36" t="s">
        <v>1030</v>
      </c>
      <c r="G478" s="36" t="s">
        <v>546</v>
      </c>
      <c r="H478" s="36" t="s">
        <v>529</v>
      </c>
      <c r="I478" s="37" t="s">
        <v>540</v>
      </c>
      <c r="J478" s="38" t="s">
        <v>539</v>
      </c>
      <c r="K478" s="39" t="s">
        <v>540</v>
      </c>
      <c r="L478" s="39" t="s">
        <v>540</v>
      </c>
      <c r="M478" s="38" t="s">
        <v>539</v>
      </c>
      <c r="N478" s="38">
        <v>308.27</v>
      </c>
      <c r="O478" s="38">
        <v>294.31</v>
      </c>
      <c r="P478" s="39" t="s">
        <v>540</v>
      </c>
      <c r="Q478" s="39" t="s">
        <v>540</v>
      </c>
      <c r="R478" s="40"/>
      <c r="S478" s="38" t="s">
        <v>539</v>
      </c>
      <c r="T478" s="39" t="s">
        <v>540</v>
      </c>
      <c r="U478" s="39" t="s">
        <v>540</v>
      </c>
      <c r="V478" s="38" t="s">
        <v>539</v>
      </c>
      <c r="W478" s="38">
        <v>149.88</v>
      </c>
      <c r="X478" s="38">
        <v>173.8</v>
      </c>
      <c r="Y478" s="39" t="s">
        <v>540</v>
      </c>
      <c r="Z478" s="39" t="s">
        <v>540</v>
      </c>
      <c r="AA478" s="41" t="s">
        <v>540</v>
      </c>
      <c r="AB478" s="42" t="s">
        <v>540</v>
      </c>
      <c r="AC478" s="40"/>
      <c r="AD478" s="43" t="s">
        <v>540</v>
      </c>
      <c r="AE478" s="39" t="s">
        <v>547</v>
      </c>
      <c r="AF478" s="39" t="s">
        <v>547</v>
      </c>
      <c r="AG478" s="43" t="s">
        <v>539</v>
      </c>
      <c r="AH478" s="43">
        <v>-306.42</v>
      </c>
      <c r="AI478" s="43">
        <v>-150.43</v>
      </c>
      <c r="AJ478" s="39" t="s">
        <v>547</v>
      </c>
      <c r="AK478" s="39" t="s">
        <v>547</v>
      </c>
      <c r="AL478" s="44"/>
      <c r="AM478" s="43" t="s">
        <v>539</v>
      </c>
      <c r="AN478" s="39" t="s">
        <v>547</v>
      </c>
      <c r="AO478" s="39" t="s">
        <v>547</v>
      </c>
      <c r="AP478" s="43" t="s">
        <v>539</v>
      </c>
      <c r="AQ478" s="43">
        <v>-306.42</v>
      </c>
      <c r="AR478" s="43">
        <v>-150.43</v>
      </c>
      <c r="AS478" s="39" t="s">
        <v>547</v>
      </c>
      <c r="AT478" s="39" t="s">
        <v>547</v>
      </c>
      <c r="AU478" s="1">
        <v>8435.5131420050002</v>
      </c>
    </row>
    <row r="479" spans="2:47" ht="18" customHeight="1" x14ac:dyDescent="0.25">
      <c r="B479" s="2">
        <f>IF(G479=$B$6,MAX(B$7:B478)+1,IF($B$6="Nifty 500 - All Sector",B478+1,0))</f>
        <v>0</v>
      </c>
      <c r="C479" s="36">
        <v>227</v>
      </c>
      <c r="D479" s="36" t="s">
        <v>498</v>
      </c>
      <c r="E479" s="36" t="s">
        <v>533</v>
      </c>
      <c r="F479" s="36" t="s">
        <v>1031</v>
      </c>
      <c r="G479" s="36" t="s">
        <v>1032</v>
      </c>
      <c r="H479" s="36" t="s">
        <v>532</v>
      </c>
      <c r="I479" s="37" t="s">
        <v>540</v>
      </c>
      <c r="J479" s="38">
        <v>10637.9</v>
      </c>
      <c r="K479" s="39">
        <v>19.182141556731924</v>
      </c>
      <c r="L479" s="39">
        <v>1.9760807380537759</v>
      </c>
      <c r="M479" s="38" t="s">
        <v>539</v>
      </c>
      <c r="N479" s="38">
        <v>8925.75</v>
      </c>
      <c r="O479" s="38">
        <v>10431.76</v>
      </c>
      <c r="P479" s="39" t="s">
        <v>540</v>
      </c>
      <c r="Q479" s="39" t="s">
        <v>540</v>
      </c>
      <c r="R479" s="40"/>
      <c r="S479" s="38">
        <v>446.2</v>
      </c>
      <c r="T479" s="39">
        <v>4.1944368719390104</v>
      </c>
      <c r="U479" s="39">
        <v>172.34960546407439</v>
      </c>
      <c r="V479" s="38" t="s">
        <v>539</v>
      </c>
      <c r="W479" s="38">
        <v>220.55</v>
      </c>
      <c r="X479" s="38">
        <v>479.23</v>
      </c>
      <c r="Y479" s="39" t="s">
        <v>540</v>
      </c>
      <c r="Z479" s="39" t="s">
        <v>540</v>
      </c>
      <c r="AA479" s="41" t="s">
        <v>540</v>
      </c>
      <c r="AB479" s="42" t="s">
        <v>540</v>
      </c>
      <c r="AC479" s="40"/>
      <c r="AD479" s="43">
        <v>-168.5</v>
      </c>
      <c r="AE479" s="39" t="s">
        <v>548</v>
      </c>
      <c r="AF479" s="39" t="s">
        <v>548</v>
      </c>
      <c r="AG479" s="43" t="s">
        <v>539</v>
      </c>
      <c r="AH479" s="43">
        <v>-287.99</v>
      </c>
      <c r="AI479" s="43">
        <v>-174.44</v>
      </c>
      <c r="AJ479" s="39" t="s">
        <v>547</v>
      </c>
      <c r="AK479" s="39" t="s">
        <v>547</v>
      </c>
      <c r="AL479" s="44"/>
      <c r="AM479" s="43">
        <v>-168.5</v>
      </c>
      <c r="AN479" s="39" t="s">
        <v>548</v>
      </c>
      <c r="AO479" s="39" t="s">
        <v>548</v>
      </c>
      <c r="AP479" s="43" t="s">
        <v>539</v>
      </c>
      <c r="AQ479" s="43">
        <v>-287.99</v>
      </c>
      <c r="AR479" s="43">
        <v>-174.44</v>
      </c>
      <c r="AS479" s="39" t="s">
        <v>547</v>
      </c>
      <c r="AT479" s="39" t="s">
        <v>547</v>
      </c>
      <c r="AU479" s="1">
        <v>186366.78202896001</v>
      </c>
    </row>
    <row r="480" spans="2:47" ht="18" customHeight="1" x14ac:dyDescent="0.25">
      <c r="B480" s="2">
        <f>IF(G480=$B$6,MAX(B$7:B479)+1,IF($B$6="Nifty 500 - All Sector",B479+1,0))</f>
        <v>0</v>
      </c>
      <c r="C480" s="36">
        <v>513</v>
      </c>
      <c r="D480" s="36" t="s">
        <v>499</v>
      </c>
      <c r="E480" s="36" t="s">
        <v>527</v>
      </c>
      <c r="F480" s="36" t="s">
        <v>1033</v>
      </c>
      <c r="G480" s="36" t="s">
        <v>1032</v>
      </c>
      <c r="H480" s="36" t="s">
        <v>535</v>
      </c>
      <c r="I480" s="37" t="s">
        <v>540</v>
      </c>
      <c r="J480" s="38">
        <v>4627.45</v>
      </c>
      <c r="K480" s="39">
        <v>7.2822916811565941</v>
      </c>
      <c r="L480" s="39">
        <v>24.644110619981507</v>
      </c>
      <c r="M480" s="38" t="s">
        <v>539</v>
      </c>
      <c r="N480" s="38">
        <v>4313.34</v>
      </c>
      <c r="O480" s="38">
        <v>3712.53</v>
      </c>
      <c r="P480" s="39" t="s">
        <v>540</v>
      </c>
      <c r="Q480" s="39" t="s">
        <v>540</v>
      </c>
      <c r="R480" s="40"/>
      <c r="S480" s="38">
        <v>1074.48</v>
      </c>
      <c r="T480" s="39">
        <v>23.219699834682171</v>
      </c>
      <c r="U480" s="39">
        <v>102.32117303361186</v>
      </c>
      <c r="V480" s="38" t="s">
        <v>539</v>
      </c>
      <c r="W480" s="38">
        <v>957.41</v>
      </c>
      <c r="X480" s="38">
        <v>779.97</v>
      </c>
      <c r="Y480" s="39" t="s">
        <v>540</v>
      </c>
      <c r="Z480" s="39" t="s">
        <v>540</v>
      </c>
      <c r="AA480" s="41" t="s">
        <v>540</v>
      </c>
      <c r="AB480" s="42" t="s">
        <v>540</v>
      </c>
      <c r="AC480" s="40"/>
      <c r="AD480" s="43">
        <v>590.29000000000008</v>
      </c>
      <c r="AE480" s="39">
        <v>12.209633882066706</v>
      </c>
      <c r="AF480" s="39">
        <v>36.432764757546352</v>
      </c>
      <c r="AG480" s="43" t="s">
        <v>539</v>
      </c>
      <c r="AH480" s="43">
        <v>526.05999999999995</v>
      </c>
      <c r="AI480" s="43">
        <v>432.66</v>
      </c>
      <c r="AJ480" s="39" t="s">
        <v>539</v>
      </c>
      <c r="AK480" s="39" t="s">
        <v>539</v>
      </c>
      <c r="AL480" s="44"/>
      <c r="AM480" s="43">
        <v>590.29000000000008</v>
      </c>
      <c r="AN480" s="39">
        <v>12.209633882066706</v>
      </c>
      <c r="AO480" s="39">
        <v>36.432764757546352</v>
      </c>
      <c r="AP480" s="43" t="s">
        <v>539</v>
      </c>
      <c r="AQ480" s="43">
        <v>526.05999999999995</v>
      </c>
      <c r="AR480" s="43">
        <v>432.66</v>
      </c>
      <c r="AS480" s="39" t="s">
        <v>539</v>
      </c>
      <c r="AT480" s="39" t="s">
        <v>539</v>
      </c>
      <c r="AU480" s="1">
        <v>74060.260402125001</v>
      </c>
    </row>
    <row r="481" spans="2:47" ht="18" customHeight="1" x14ac:dyDescent="0.25">
      <c r="B481" s="2">
        <f>IF(G481=$B$6,MAX(B$7:B480)+1,IF($B$6="Nifty 500 - All Sector",B480+1,0))</f>
        <v>0</v>
      </c>
      <c r="C481" s="36">
        <v>932</v>
      </c>
      <c r="D481" s="36" t="s">
        <v>500</v>
      </c>
      <c r="E481" s="36" t="s">
        <v>527</v>
      </c>
      <c r="F481" s="36" t="s">
        <v>1034</v>
      </c>
      <c r="G481" s="36" t="s">
        <v>1032</v>
      </c>
      <c r="H481" s="36" t="s">
        <v>529</v>
      </c>
      <c r="I481" s="37" t="s">
        <v>540</v>
      </c>
      <c r="J481" s="38">
        <v>2522.15</v>
      </c>
      <c r="K481" s="39">
        <v>0.54134427183614164</v>
      </c>
      <c r="L481" s="39">
        <v>0.67217230602201195</v>
      </c>
      <c r="M481" s="38" t="s">
        <v>539</v>
      </c>
      <c r="N481" s="38">
        <v>2508.5700000000002</v>
      </c>
      <c r="O481" s="38">
        <v>2505.31</v>
      </c>
      <c r="P481" s="39" t="s">
        <v>540</v>
      </c>
      <c r="Q481" s="39" t="s">
        <v>540</v>
      </c>
      <c r="R481" s="40"/>
      <c r="S481" s="38">
        <v>303.25</v>
      </c>
      <c r="T481" s="39">
        <v>12.023472037745574</v>
      </c>
      <c r="U481" s="39">
        <v>58.787327032030845</v>
      </c>
      <c r="V481" s="38" t="s">
        <v>539</v>
      </c>
      <c r="W481" s="38">
        <v>286.87</v>
      </c>
      <c r="X481" s="38">
        <v>284.35000000000002</v>
      </c>
      <c r="Y481" s="39" t="s">
        <v>540</v>
      </c>
      <c r="Z481" s="39" t="s">
        <v>540</v>
      </c>
      <c r="AA481" s="41" t="s">
        <v>540</v>
      </c>
      <c r="AB481" s="42" t="s">
        <v>540</v>
      </c>
      <c r="AC481" s="40"/>
      <c r="AD481" s="43">
        <v>189.2</v>
      </c>
      <c r="AE481" s="39">
        <v>-15.982059594120523</v>
      </c>
      <c r="AF481" s="39">
        <v>23.522883071097468</v>
      </c>
      <c r="AG481" s="43" t="s">
        <v>539</v>
      </c>
      <c r="AH481" s="43">
        <v>225.19</v>
      </c>
      <c r="AI481" s="43">
        <v>153.16999999999999</v>
      </c>
      <c r="AJ481" s="39" t="s">
        <v>539</v>
      </c>
      <c r="AK481" s="39" t="s">
        <v>539</v>
      </c>
      <c r="AL481" s="44"/>
      <c r="AM481" s="43">
        <v>189.2</v>
      </c>
      <c r="AN481" s="39">
        <v>-20.273060553706124</v>
      </c>
      <c r="AO481" s="39">
        <v>13.742936154863528</v>
      </c>
      <c r="AP481" s="43" t="s">
        <v>539</v>
      </c>
      <c r="AQ481" s="43">
        <v>237.31</v>
      </c>
      <c r="AR481" s="43">
        <v>166.34</v>
      </c>
      <c r="AS481" s="39" t="s">
        <v>539</v>
      </c>
      <c r="AT481" s="39" t="s">
        <v>539</v>
      </c>
      <c r="AU481" s="1">
        <v>16105.764214999999</v>
      </c>
    </row>
    <row r="482" spans="2:47" ht="18" customHeight="1" x14ac:dyDescent="0.25">
      <c r="B482" s="2">
        <f>IF(G482=$B$6,MAX(B$7:B481)+1,IF($B$6="Nifty 500 - All Sector",B481+1,0))</f>
        <v>0</v>
      </c>
      <c r="C482" s="36">
        <v>2227</v>
      </c>
      <c r="D482" s="36" t="s">
        <v>501</v>
      </c>
      <c r="E482" s="36" t="s">
        <v>527</v>
      </c>
      <c r="F482" s="36" t="s">
        <v>1035</v>
      </c>
      <c r="G482" s="36" t="s">
        <v>1032</v>
      </c>
      <c r="H482" s="36" t="s">
        <v>529</v>
      </c>
      <c r="I482" s="37" t="s">
        <v>540</v>
      </c>
      <c r="J482" s="38">
        <v>2500.5</v>
      </c>
      <c r="K482" s="39">
        <v>-5.4952946067500674</v>
      </c>
      <c r="L482" s="39">
        <v>10.533993457696056</v>
      </c>
      <c r="M482" s="38" t="s">
        <v>539</v>
      </c>
      <c r="N482" s="38">
        <v>2645.9</v>
      </c>
      <c r="O482" s="38">
        <v>2262.1999999999998</v>
      </c>
      <c r="P482" s="39" t="s">
        <v>540</v>
      </c>
      <c r="Q482" s="39" t="s">
        <v>540</v>
      </c>
      <c r="R482" s="40"/>
      <c r="S482" s="38">
        <v>212.65</v>
      </c>
      <c r="T482" s="39">
        <v>8.5042991401719661</v>
      </c>
      <c r="U482" s="39">
        <v>-343.19040421100556</v>
      </c>
      <c r="V482" s="38" t="s">
        <v>539</v>
      </c>
      <c r="W482" s="38">
        <v>315.82</v>
      </c>
      <c r="X482" s="38">
        <v>160.31</v>
      </c>
      <c r="Y482" s="39" t="s">
        <v>540</v>
      </c>
      <c r="Z482" s="39" t="s">
        <v>540</v>
      </c>
      <c r="AA482" s="41" t="s">
        <v>540</v>
      </c>
      <c r="AB482" s="42" t="s">
        <v>540</v>
      </c>
      <c r="AC482" s="40"/>
      <c r="AD482" s="43">
        <v>40.033300000000004</v>
      </c>
      <c r="AE482" s="39">
        <v>-69.908824413710164</v>
      </c>
      <c r="AF482" s="39">
        <v>1457.7159533073991</v>
      </c>
      <c r="AG482" s="43" t="s">
        <v>539</v>
      </c>
      <c r="AH482" s="43">
        <v>133.04</v>
      </c>
      <c r="AI482" s="43">
        <v>2.5699999999999901</v>
      </c>
      <c r="AJ482" s="39" t="s">
        <v>539</v>
      </c>
      <c r="AK482" s="39" t="s">
        <v>539</v>
      </c>
      <c r="AL482" s="44"/>
      <c r="AM482" s="43">
        <v>40.033300000000004</v>
      </c>
      <c r="AN482" s="39">
        <v>-69.630329236838108</v>
      </c>
      <c r="AO482" s="39">
        <v>18963.476190476194</v>
      </c>
      <c r="AP482" s="43" t="s">
        <v>539</v>
      </c>
      <c r="AQ482" s="43">
        <v>131.82</v>
      </c>
      <c r="AR482" s="43">
        <v>0.21</v>
      </c>
      <c r="AS482" s="39" t="s">
        <v>539</v>
      </c>
      <c r="AT482" s="39" t="s">
        <v>539</v>
      </c>
      <c r="AU482" s="1">
        <v>11965.427612150001</v>
      </c>
    </row>
    <row r="483" spans="2:47" ht="18" customHeight="1" x14ac:dyDescent="0.25">
      <c r="B483" s="2">
        <f>IF(G483=$B$6,MAX(B$7:B482)+1,IF($B$6="Nifty 500 - All Sector",B482+1,0))</f>
        <v>0</v>
      </c>
      <c r="C483" s="36">
        <v>2117</v>
      </c>
      <c r="D483" s="36" t="s">
        <v>502</v>
      </c>
      <c r="E483" s="36" t="s">
        <v>527</v>
      </c>
      <c r="F483" s="36" t="s">
        <v>1036</v>
      </c>
      <c r="G483" s="36" t="s">
        <v>1032</v>
      </c>
      <c r="H483" s="36" t="s">
        <v>529</v>
      </c>
      <c r="I483" s="37" t="s">
        <v>540</v>
      </c>
      <c r="J483" s="38" t="s">
        <v>539</v>
      </c>
      <c r="K483" s="39" t="s">
        <v>540</v>
      </c>
      <c r="L483" s="39" t="s">
        <v>540</v>
      </c>
      <c r="M483" s="38" t="s">
        <v>539</v>
      </c>
      <c r="N483" s="38">
        <v>855.75300000000004</v>
      </c>
      <c r="O483" s="38">
        <v>1150.0160000000001</v>
      </c>
      <c r="P483" s="39" t="s">
        <v>540</v>
      </c>
      <c r="Q483" s="39" t="s">
        <v>540</v>
      </c>
      <c r="R483" s="40"/>
      <c r="S483" s="38" t="s">
        <v>539</v>
      </c>
      <c r="T483" s="39" t="s">
        <v>540</v>
      </c>
      <c r="U483" s="39" t="s">
        <v>540</v>
      </c>
      <c r="V483" s="38" t="s">
        <v>539</v>
      </c>
      <c r="W483" s="38">
        <v>13.909000000000001</v>
      </c>
      <c r="X483" s="38">
        <v>25.261000000000099</v>
      </c>
      <c r="Y483" s="39" t="s">
        <v>540</v>
      </c>
      <c r="Z483" s="39" t="s">
        <v>540</v>
      </c>
      <c r="AA483" s="41" t="s">
        <v>540</v>
      </c>
      <c r="AB483" s="42" t="s">
        <v>540</v>
      </c>
      <c r="AC483" s="40"/>
      <c r="AD483" s="43" t="s">
        <v>540</v>
      </c>
      <c r="AE483" s="39" t="s">
        <v>547</v>
      </c>
      <c r="AF483" s="39" t="s">
        <v>547</v>
      </c>
      <c r="AG483" s="43" t="s">
        <v>539</v>
      </c>
      <c r="AH483" s="43">
        <v>-22.471</v>
      </c>
      <c r="AI483" s="43">
        <v>-1.4600000000000199</v>
      </c>
      <c r="AJ483" s="39" t="s">
        <v>547</v>
      </c>
      <c r="AK483" s="39" t="s">
        <v>547</v>
      </c>
      <c r="AL483" s="44"/>
      <c r="AM483" s="43" t="s">
        <v>539</v>
      </c>
      <c r="AN483" s="39" t="s">
        <v>547</v>
      </c>
      <c r="AO483" s="39" t="s">
        <v>547</v>
      </c>
      <c r="AP483" s="43" t="s">
        <v>539</v>
      </c>
      <c r="AQ483" s="43">
        <v>-17.73</v>
      </c>
      <c r="AR483" s="43">
        <v>-9.8699999999999992</v>
      </c>
      <c r="AS483" s="39" t="s">
        <v>547</v>
      </c>
      <c r="AT483" s="39" t="s">
        <v>547</v>
      </c>
      <c r="AU483" s="1">
        <v>10430.277881649999</v>
      </c>
    </row>
    <row r="484" spans="2:47" ht="18" customHeight="1" x14ac:dyDescent="0.25">
      <c r="B484" s="2">
        <f>IF(G484=$B$6,MAX(B$7:B483)+1,IF($B$6="Nifty 500 - All Sector",B483+1,0))</f>
        <v>0</v>
      </c>
      <c r="C484" s="36">
        <v>38451</v>
      </c>
      <c r="D484" s="36" t="s">
        <v>503</v>
      </c>
      <c r="E484" s="36" t="s">
        <v>527</v>
      </c>
      <c r="F484" s="36" t="s">
        <v>1037</v>
      </c>
      <c r="G484" s="36" t="s">
        <v>1038</v>
      </c>
      <c r="H484" s="36" t="s">
        <v>535</v>
      </c>
      <c r="I484" s="37" t="s">
        <v>540</v>
      </c>
      <c r="J484" s="38">
        <v>3359.7285714285708</v>
      </c>
      <c r="K484" s="39">
        <v>9.1044132867622594</v>
      </c>
      <c r="L484" s="39">
        <v>-5.8160862461154146</v>
      </c>
      <c r="M484" s="38" t="s">
        <v>539</v>
      </c>
      <c r="N484" s="38">
        <v>3079.37</v>
      </c>
      <c r="O484" s="38">
        <v>3567.2</v>
      </c>
      <c r="P484" s="39" t="s">
        <v>540</v>
      </c>
      <c r="Q484" s="39" t="s">
        <v>540</v>
      </c>
      <c r="R484" s="40"/>
      <c r="S484" s="38">
        <v>815.5</v>
      </c>
      <c r="T484" s="39">
        <v>24.272794145785589</v>
      </c>
      <c r="U484" s="39">
        <v>208.67625873824062</v>
      </c>
      <c r="V484" s="38" t="s">
        <v>539</v>
      </c>
      <c r="W484" s="38">
        <v>683.19</v>
      </c>
      <c r="X484" s="38">
        <v>919.43</v>
      </c>
      <c r="Y484" s="39" t="s">
        <v>540</v>
      </c>
      <c r="Z484" s="39" t="s">
        <v>540</v>
      </c>
      <c r="AA484" s="41" t="s">
        <v>540</v>
      </c>
      <c r="AB484" s="42" t="s">
        <v>540</v>
      </c>
      <c r="AC484" s="40"/>
      <c r="AD484" s="43">
        <v>444.28000000000003</v>
      </c>
      <c r="AE484" s="39">
        <v>4.1273115053788612</v>
      </c>
      <c r="AF484" s="39">
        <v>8.1841868166654628</v>
      </c>
      <c r="AG484" s="43" t="s">
        <v>539</v>
      </c>
      <c r="AH484" s="43">
        <v>426.67</v>
      </c>
      <c r="AI484" s="43">
        <v>410.67</v>
      </c>
      <c r="AJ484" s="39" t="s">
        <v>539</v>
      </c>
      <c r="AK484" s="39" t="s">
        <v>539</v>
      </c>
      <c r="AL484" s="44"/>
      <c r="AM484" s="43">
        <v>444.28000000000003</v>
      </c>
      <c r="AN484" s="39">
        <v>5.5873755258217139</v>
      </c>
      <c r="AO484" s="39">
        <v>8.6923547400611589</v>
      </c>
      <c r="AP484" s="43" t="s">
        <v>539</v>
      </c>
      <c r="AQ484" s="43">
        <v>420.77</v>
      </c>
      <c r="AR484" s="43">
        <v>408.75</v>
      </c>
      <c r="AS484" s="39" t="s">
        <v>539</v>
      </c>
      <c r="AT484" s="39" t="s">
        <v>539</v>
      </c>
      <c r="AU484" s="1">
        <v>87624.876759639999</v>
      </c>
    </row>
    <row r="485" spans="2:47" ht="18" customHeight="1" x14ac:dyDescent="0.25">
      <c r="B485" s="2">
        <f>IF(G485=$B$6,MAX(B$7:B484)+1,IF($B$6="Nifty 500 - All Sector",B484+1,0))</f>
        <v>0</v>
      </c>
      <c r="C485" s="36">
        <v>86391</v>
      </c>
      <c r="D485" s="36" t="s">
        <v>504</v>
      </c>
      <c r="E485" s="36" t="s">
        <v>527</v>
      </c>
      <c r="F485" s="36" t="s">
        <v>1039</v>
      </c>
      <c r="G485" s="36" t="s">
        <v>1038</v>
      </c>
      <c r="H485" s="36" t="s">
        <v>535</v>
      </c>
      <c r="I485" s="37" t="s">
        <v>540</v>
      </c>
      <c r="J485" s="38">
        <v>3046.5</v>
      </c>
      <c r="K485" s="39">
        <v>19.569338441866122</v>
      </c>
      <c r="L485" s="39">
        <v>-16.998396092426702</v>
      </c>
      <c r="M485" s="38" t="s">
        <v>539</v>
      </c>
      <c r="N485" s="38">
        <v>2547.8939999999998</v>
      </c>
      <c r="O485" s="38">
        <v>3670.4110000000001</v>
      </c>
      <c r="P485" s="39" t="s">
        <v>540</v>
      </c>
      <c r="Q485" s="39" t="s">
        <v>540</v>
      </c>
      <c r="R485" s="40"/>
      <c r="S485" s="38">
        <v>440.44285714285718</v>
      </c>
      <c r="T485" s="39">
        <v>14.457339804459451</v>
      </c>
      <c r="U485" s="39">
        <v>44.105812241145337</v>
      </c>
      <c r="V485" s="38" t="s">
        <v>539</v>
      </c>
      <c r="W485" s="38">
        <v>357.12</v>
      </c>
      <c r="X485" s="38">
        <v>605.13</v>
      </c>
      <c r="Y485" s="39" t="s">
        <v>540</v>
      </c>
      <c r="Z485" s="39" t="s">
        <v>540</v>
      </c>
      <c r="AA485" s="41" t="s">
        <v>540</v>
      </c>
      <c r="AB485" s="42" t="s">
        <v>540</v>
      </c>
      <c r="AC485" s="40"/>
      <c r="AD485" s="43">
        <v>170.71430000000001</v>
      </c>
      <c r="AE485" s="39">
        <v>48.302783376190163</v>
      </c>
      <c r="AF485" s="39">
        <v>-45.445269283497858</v>
      </c>
      <c r="AG485" s="43" t="s">
        <v>539</v>
      </c>
      <c r="AH485" s="43">
        <v>115.11199999999999</v>
      </c>
      <c r="AI485" s="43">
        <v>312.923</v>
      </c>
      <c r="AJ485" s="39" t="s">
        <v>539</v>
      </c>
      <c r="AK485" s="39" t="s">
        <v>539</v>
      </c>
      <c r="AL485" s="44"/>
      <c r="AM485" s="43">
        <v>170.71430000000001</v>
      </c>
      <c r="AN485" s="39">
        <v>48.302783376190163</v>
      </c>
      <c r="AO485" s="39">
        <v>-45.445269283497858</v>
      </c>
      <c r="AP485" s="43" t="s">
        <v>539</v>
      </c>
      <c r="AQ485" s="43">
        <v>115.11199999999999</v>
      </c>
      <c r="AR485" s="43">
        <v>312.923</v>
      </c>
      <c r="AS485" s="39" t="s">
        <v>539</v>
      </c>
      <c r="AT485" s="39" t="s">
        <v>539</v>
      </c>
      <c r="AU485" s="1">
        <v>54816.962164379998</v>
      </c>
    </row>
    <row r="486" spans="2:47" ht="18" customHeight="1" x14ac:dyDescent="0.25">
      <c r="B486" s="2">
        <f>IF(G486=$B$6,MAX(B$7:B485)+1,IF($B$6="Nifty 500 - All Sector",B485+1,0))</f>
        <v>0</v>
      </c>
      <c r="C486" s="36">
        <v>2096</v>
      </c>
      <c r="D486" s="36" t="s">
        <v>505</v>
      </c>
      <c r="E486" s="36" t="s">
        <v>527</v>
      </c>
      <c r="F486" s="36" t="s">
        <v>1040</v>
      </c>
      <c r="G486" s="36" t="s">
        <v>1038</v>
      </c>
      <c r="H486" s="36" t="s">
        <v>535</v>
      </c>
      <c r="I486" s="37" t="s">
        <v>540</v>
      </c>
      <c r="J486" s="38" t="s">
        <v>539</v>
      </c>
      <c r="K486" s="39" t="s">
        <v>540</v>
      </c>
      <c r="L486" s="39" t="s">
        <v>540</v>
      </c>
      <c r="M486" s="38" t="s">
        <v>539</v>
      </c>
      <c r="N486" s="38">
        <v>1198.2329999999999</v>
      </c>
      <c r="O486" s="38">
        <v>1228.0530000000001</v>
      </c>
      <c r="P486" s="39" t="s">
        <v>540</v>
      </c>
      <c r="Q486" s="39" t="s">
        <v>540</v>
      </c>
      <c r="R486" s="40"/>
      <c r="S486" s="38">
        <v>237.4</v>
      </c>
      <c r="T486" s="39" t="s">
        <v>540</v>
      </c>
      <c r="U486" s="39" t="s">
        <v>540</v>
      </c>
      <c r="V486" s="38" t="s">
        <v>539</v>
      </c>
      <c r="W486" s="38">
        <v>226.73500000000001</v>
      </c>
      <c r="X486" s="38">
        <v>230.69499999999999</v>
      </c>
      <c r="Y486" s="39" t="s">
        <v>540</v>
      </c>
      <c r="Z486" s="39" t="s">
        <v>540</v>
      </c>
      <c r="AA486" s="41" t="s">
        <v>540</v>
      </c>
      <c r="AB486" s="42" t="s">
        <v>540</v>
      </c>
      <c r="AC486" s="40"/>
      <c r="AD486" s="43">
        <v>185.3</v>
      </c>
      <c r="AE486" s="39">
        <v>159.62926118451475</v>
      </c>
      <c r="AF486" s="39" t="s">
        <v>547</v>
      </c>
      <c r="AG486" s="43" t="s">
        <v>539</v>
      </c>
      <c r="AH486" s="43">
        <v>71.370999999999995</v>
      </c>
      <c r="AI486" s="43">
        <v>-62.052999999999898</v>
      </c>
      <c r="AJ486" s="39" t="s">
        <v>539</v>
      </c>
      <c r="AK486" s="39" t="s">
        <v>547</v>
      </c>
      <c r="AL486" s="44"/>
      <c r="AM486" s="43">
        <v>185.3</v>
      </c>
      <c r="AN486" s="39">
        <v>159.62926118451475</v>
      </c>
      <c r="AO486" s="39" t="s">
        <v>547</v>
      </c>
      <c r="AP486" s="43" t="s">
        <v>539</v>
      </c>
      <c r="AQ486" s="43">
        <v>71.370999999999995</v>
      </c>
      <c r="AR486" s="43">
        <v>-62.052999999999898</v>
      </c>
      <c r="AS486" s="39" t="s">
        <v>539</v>
      </c>
      <c r="AT486" s="39" t="s">
        <v>547</v>
      </c>
      <c r="AU486" s="1">
        <v>35462.046082549998</v>
      </c>
    </row>
    <row r="487" spans="2:47" ht="18" customHeight="1" x14ac:dyDescent="0.25">
      <c r="B487" s="2">
        <f>IF(G487=$B$6,MAX(B$7:B486)+1,IF($B$6="Nifty 500 - All Sector",B486+1,0))</f>
        <v>0</v>
      </c>
      <c r="C487" s="36">
        <v>12586</v>
      </c>
      <c r="D487" s="36" t="s">
        <v>506</v>
      </c>
      <c r="E487" s="36" t="s">
        <v>527</v>
      </c>
      <c r="F487" s="36" t="s">
        <v>1041</v>
      </c>
      <c r="G487" s="36" t="s">
        <v>1038</v>
      </c>
      <c r="H487" s="36" t="s">
        <v>529</v>
      </c>
      <c r="I487" s="37" t="s">
        <v>540</v>
      </c>
      <c r="J487" s="38">
        <v>31039.05</v>
      </c>
      <c r="K487" s="39">
        <v>17.395709781661495</v>
      </c>
      <c r="L487" s="39">
        <v>0.37940956084927535</v>
      </c>
      <c r="M487" s="38" t="s">
        <v>539</v>
      </c>
      <c r="N487" s="38">
        <v>26439.68</v>
      </c>
      <c r="O487" s="38">
        <v>30921.73</v>
      </c>
      <c r="P487" s="39" t="s">
        <v>540</v>
      </c>
      <c r="Q487" s="39" t="s">
        <v>540</v>
      </c>
      <c r="R487" s="40"/>
      <c r="S487" s="38">
        <v>663.65</v>
      </c>
      <c r="T487" s="39">
        <v>2.1381131187971283</v>
      </c>
      <c r="U487" s="39">
        <v>-11.951632301153969</v>
      </c>
      <c r="V487" s="38" t="s">
        <v>539</v>
      </c>
      <c r="W487" s="38">
        <v>596.90999999999804</v>
      </c>
      <c r="X487" s="38">
        <v>625.9</v>
      </c>
      <c r="Y487" s="39" t="s">
        <v>540</v>
      </c>
      <c r="Z487" s="39" t="s">
        <v>540</v>
      </c>
      <c r="AA487" s="41" t="s">
        <v>540</v>
      </c>
      <c r="AB487" s="42" t="s">
        <v>540</v>
      </c>
      <c r="AC487" s="40"/>
      <c r="AD487" s="43">
        <v>443.5</v>
      </c>
      <c r="AE487" s="39">
        <v>-51.674766273672176</v>
      </c>
      <c r="AF487" s="39">
        <v>7.283678850479669</v>
      </c>
      <c r="AG487" s="43" t="s">
        <v>539</v>
      </c>
      <c r="AH487" s="43">
        <v>917.73999999999796</v>
      </c>
      <c r="AI487" s="43">
        <v>413.39000000000198</v>
      </c>
      <c r="AJ487" s="39" t="s">
        <v>539</v>
      </c>
      <c r="AK487" s="39" t="s">
        <v>539</v>
      </c>
      <c r="AL487" s="44"/>
      <c r="AM487" s="43">
        <v>443.5</v>
      </c>
      <c r="AN487" s="39">
        <v>-33.370391514678047</v>
      </c>
      <c r="AO487" s="39">
        <v>1.7668655346489093</v>
      </c>
      <c r="AP487" s="43" t="s">
        <v>539</v>
      </c>
      <c r="AQ487" s="43">
        <v>665.62</v>
      </c>
      <c r="AR487" s="43">
        <v>435.8</v>
      </c>
      <c r="AS487" s="39" t="s">
        <v>539</v>
      </c>
      <c r="AT487" s="39" t="s">
        <v>539</v>
      </c>
      <c r="AU487" s="1">
        <v>17593.833569654998</v>
      </c>
    </row>
    <row r="488" spans="2:47" ht="18" customHeight="1" x14ac:dyDescent="0.25">
      <c r="B488" s="2">
        <f>IF(G488=$B$6,MAX(B$7:B487)+1,IF($B$6="Nifty 500 - All Sector",B487+1,0))</f>
        <v>0</v>
      </c>
      <c r="C488" s="36">
        <v>77264</v>
      </c>
      <c r="D488" s="36" t="s">
        <v>507</v>
      </c>
      <c r="E488" s="36" t="s">
        <v>527</v>
      </c>
      <c r="F488" s="36" t="s">
        <v>1042</v>
      </c>
      <c r="G488" s="36" t="s">
        <v>1038</v>
      </c>
      <c r="H488" s="36" t="s">
        <v>529</v>
      </c>
      <c r="I488" s="37" t="s">
        <v>540</v>
      </c>
      <c r="J488" s="38">
        <v>625.0428571428572</v>
      </c>
      <c r="K488" s="39">
        <v>17.145748771058035</v>
      </c>
      <c r="L488" s="39">
        <v>3.9069418614620099</v>
      </c>
      <c r="M488" s="38" t="s">
        <v>539</v>
      </c>
      <c r="N488" s="38">
        <v>533.55999999999995</v>
      </c>
      <c r="O488" s="38">
        <v>601.54100000000005</v>
      </c>
      <c r="P488" s="39" t="s">
        <v>540</v>
      </c>
      <c r="Q488" s="39" t="s">
        <v>540</v>
      </c>
      <c r="R488" s="40"/>
      <c r="S488" s="38">
        <v>61.587499999999999</v>
      </c>
      <c r="T488" s="39">
        <v>9.8533243434735898</v>
      </c>
      <c r="U488" s="39">
        <v>479.5598876796908</v>
      </c>
      <c r="V488" s="38" t="s">
        <v>539</v>
      </c>
      <c r="W488" s="38">
        <v>26.9860000000001</v>
      </c>
      <c r="X488" s="38">
        <v>65.503</v>
      </c>
      <c r="Y488" s="39" t="s">
        <v>540</v>
      </c>
      <c r="Z488" s="39" t="s">
        <v>540</v>
      </c>
      <c r="AA488" s="41" t="s">
        <v>540</v>
      </c>
      <c r="AB488" s="42" t="s">
        <v>540</v>
      </c>
      <c r="AC488" s="40"/>
      <c r="AD488" s="43">
        <v>45.566700000000004</v>
      </c>
      <c r="AE488" s="39">
        <v>82.42003282757446</v>
      </c>
      <c r="AF488" s="39">
        <v>-9.2658303464755001</v>
      </c>
      <c r="AG488" s="43" t="s">
        <v>539</v>
      </c>
      <c r="AH488" s="43">
        <v>24.979000000000099</v>
      </c>
      <c r="AI488" s="43">
        <v>50.22</v>
      </c>
      <c r="AJ488" s="39" t="s">
        <v>539</v>
      </c>
      <c r="AK488" s="39" t="s">
        <v>539</v>
      </c>
      <c r="AL488" s="44"/>
      <c r="AM488" s="43">
        <v>45.566700000000004</v>
      </c>
      <c r="AN488" s="39">
        <v>82.420032827575199</v>
      </c>
      <c r="AO488" s="39">
        <v>-9.2296812749003916</v>
      </c>
      <c r="AP488" s="43" t="s">
        <v>539</v>
      </c>
      <c r="AQ488" s="43">
        <v>24.978999999999999</v>
      </c>
      <c r="AR488" s="43">
        <v>50.2</v>
      </c>
      <c r="AS488" s="39" t="s">
        <v>539</v>
      </c>
      <c r="AT488" s="39" t="s">
        <v>539</v>
      </c>
      <c r="AU488" s="1">
        <v>11134.154350680001</v>
      </c>
    </row>
    <row r="489" spans="2:47" ht="18" customHeight="1" x14ac:dyDescent="0.25">
      <c r="B489" s="2">
        <f>IF(G489=$B$6,MAX(B$7:B488)+1,IF($B$6="Nifty 500 - All Sector",B488+1,0))</f>
        <v>0</v>
      </c>
      <c r="C489" s="36">
        <v>2292</v>
      </c>
      <c r="D489" s="36" t="s">
        <v>508</v>
      </c>
      <c r="E489" s="36" t="s">
        <v>527</v>
      </c>
      <c r="F489" s="36" t="s">
        <v>1043</v>
      </c>
      <c r="G489" s="36" t="s">
        <v>1038</v>
      </c>
      <c r="H489" s="36" t="s">
        <v>529</v>
      </c>
      <c r="I489" s="37" t="s">
        <v>540</v>
      </c>
      <c r="J489" s="38" t="s">
        <v>539</v>
      </c>
      <c r="K489" s="39" t="s">
        <v>540</v>
      </c>
      <c r="L489" s="39" t="s">
        <v>540</v>
      </c>
      <c r="M489" s="38" t="s">
        <v>539</v>
      </c>
      <c r="N489" s="38">
        <v>0.23</v>
      </c>
      <c r="O489" s="38">
        <v>0.34</v>
      </c>
      <c r="P489" s="39" t="s">
        <v>540</v>
      </c>
      <c r="Q489" s="39" t="s">
        <v>540</v>
      </c>
      <c r="R489" s="40"/>
      <c r="S489" s="38" t="s">
        <v>539</v>
      </c>
      <c r="T489" s="39" t="s">
        <v>540</v>
      </c>
      <c r="U489" s="39" t="s">
        <v>540</v>
      </c>
      <c r="V489" s="38" t="s">
        <v>539</v>
      </c>
      <c r="W489" s="38">
        <v>-27.24</v>
      </c>
      <c r="X489" s="38">
        <v>-23.01</v>
      </c>
      <c r="Y489" s="39" t="s">
        <v>540</v>
      </c>
      <c r="Z489" s="39" t="s">
        <v>540</v>
      </c>
      <c r="AA489" s="41" t="s">
        <v>540</v>
      </c>
      <c r="AB489" s="42" t="s">
        <v>540</v>
      </c>
      <c r="AC489" s="40"/>
      <c r="AD489" s="43" t="s">
        <v>540</v>
      </c>
      <c r="AE489" s="39" t="s">
        <v>539</v>
      </c>
      <c r="AF489" s="39" t="s">
        <v>539</v>
      </c>
      <c r="AG489" s="43" t="s">
        <v>539</v>
      </c>
      <c r="AH489" s="43">
        <v>0.31999999999999901</v>
      </c>
      <c r="AI489" s="43">
        <v>10.11</v>
      </c>
      <c r="AJ489" s="39" t="s">
        <v>539</v>
      </c>
      <c r="AK489" s="39" t="s">
        <v>539</v>
      </c>
      <c r="AL489" s="44"/>
      <c r="AM489" s="43" t="s">
        <v>539</v>
      </c>
      <c r="AN489" s="39" t="s">
        <v>539</v>
      </c>
      <c r="AO489" s="39" t="s">
        <v>539</v>
      </c>
      <c r="AP489" s="43" t="s">
        <v>539</v>
      </c>
      <c r="AQ489" s="43">
        <v>2.23</v>
      </c>
      <c r="AR489" s="43">
        <v>46.27</v>
      </c>
      <c r="AS489" s="39" t="s">
        <v>539</v>
      </c>
      <c r="AT489" s="39" t="s">
        <v>539</v>
      </c>
      <c r="AU489" s="1">
        <v>9082.5</v>
      </c>
    </row>
    <row r="490" spans="2:47" ht="18" customHeight="1" x14ac:dyDescent="0.25">
      <c r="B490" s="2">
        <f>IF(G490=$B$6,MAX(B$7:B489)+1,IF($B$6="Nifty 500 - All Sector",B489+1,0))</f>
        <v>0</v>
      </c>
      <c r="C490" s="45">
        <v>1375</v>
      </c>
      <c r="D490" s="45" t="s">
        <v>509</v>
      </c>
      <c r="E490" s="45" t="s">
        <v>533</v>
      </c>
      <c r="F490" s="45" t="s">
        <v>1044</v>
      </c>
      <c r="G490" s="45" t="s">
        <v>4</v>
      </c>
      <c r="H490" s="45" t="s">
        <v>532</v>
      </c>
      <c r="I490" s="37" t="s">
        <v>540</v>
      </c>
      <c r="J490" s="46">
        <v>47058.345891571917</v>
      </c>
      <c r="K490" s="39">
        <v>10.014618224802717</v>
      </c>
      <c r="L490" s="39">
        <v>4.1335937389565203</v>
      </c>
      <c r="M490" s="46" t="s">
        <v>539</v>
      </c>
      <c r="N490" s="46">
        <v>42774.62999999999</v>
      </c>
      <c r="O490" s="46">
        <v>45190.36</v>
      </c>
      <c r="P490" s="47" t="s">
        <v>540</v>
      </c>
      <c r="Q490" s="47" t="s">
        <v>540</v>
      </c>
      <c r="R490" s="40"/>
      <c r="S490" s="38">
        <v>29996.9</v>
      </c>
      <c r="T490" s="39"/>
      <c r="U490" s="39"/>
      <c r="V490" s="46" t="s">
        <v>539</v>
      </c>
      <c r="W490" s="46">
        <v>31286.04</v>
      </c>
      <c r="X490" s="46">
        <v>32862.39</v>
      </c>
      <c r="Y490" s="47" t="s">
        <v>540</v>
      </c>
      <c r="Z490" s="47" t="s">
        <v>540</v>
      </c>
      <c r="AA490" s="41" t="s">
        <v>540</v>
      </c>
      <c r="AB490" s="48" t="s">
        <v>540</v>
      </c>
      <c r="AC490" s="40"/>
      <c r="AD490" s="49">
        <v>19021.670600000001</v>
      </c>
      <c r="AE490" s="50">
        <v>2.0334116665120083</v>
      </c>
      <c r="AF490" s="50">
        <v>-9.5418731557459839</v>
      </c>
      <c r="AG490" s="43" t="s">
        <v>540</v>
      </c>
      <c r="AH490" s="43">
        <v>18642.59</v>
      </c>
      <c r="AI490" s="43">
        <v>21028.15</v>
      </c>
      <c r="AJ490" s="41" t="s">
        <v>539</v>
      </c>
      <c r="AK490" s="41" t="s">
        <v>539</v>
      </c>
      <c r="AL490" s="44"/>
      <c r="AM490" s="49">
        <v>19021.670600000001</v>
      </c>
      <c r="AN490" s="50">
        <v>2.0334116665120083</v>
      </c>
      <c r="AO490" s="50">
        <v>-9.5418731557459839</v>
      </c>
      <c r="AP490" s="43" t="s">
        <v>539</v>
      </c>
      <c r="AQ490" s="43">
        <v>18642.59</v>
      </c>
      <c r="AR490" s="43">
        <v>21028.15</v>
      </c>
      <c r="AS490" s="41" t="s">
        <v>539</v>
      </c>
      <c r="AT490" s="41" t="s">
        <v>539</v>
      </c>
      <c r="AU490" s="1">
        <v>988922.21507610998</v>
      </c>
    </row>
    <row r="491" spans="2:47" ht="18" customHeight="1" x14ac:dyDescent="0.25">
      <c r="B491" s="2">
        <f>IF(G491=$B$6,MAX(B$7:B490)+1,IF($B$6="Nifty 500 - All Sector",B490+1,0))</f>
        <v>0</v>
      </c>
      <c r="C491" s="45">
        <v>5554</v>
      </c>
      <c r="D491" s="45" t="s">
        <v>510</v>
      </c>
      <c r="E491" s="45" t="s">
        <v>533</v>
      </c>
      <c r="F491" s="45" t="s">
        <v>1045</v>
      </c>
      <c r="G491" s="45" t="s">
        <v>4</v>
      </c>
      <c r="H491" s="45" t="s">
        <v>532</v>
      </c>
      <c r="I491" s="37" t="s">
        <v>540</v>
      </c>
      <c r="J491" s="46">
        <v>14716.771878357042</v>
      </c>
      <c r="K491" s="39">
        <v>6.5618859100154303</v>
      </c>
      <c r="L491" s="39">
        <v>3.0113048792504316</v>
      </c>
      <c r="M491" s="46" t="s">
        <v>539</v>
      </c>
      <c r="N491" s="46">
        <v>13810.539999999997</v>
      </c>
      <c r="O491" s="46">
        <v>14286.560000000001</v>
      </c>
      <c r="P491" s="47" t="s">
        <v>540</v>
      </c>
      <c r="Q491" s="47" t="s">
        <v>540</v>
      </c>
      <c r="R491" s="40"/>
      <c r="S491" s="38">
        <v>11518.5</v>
      </c>
      <c r="T491" s="39"/>
      <c r="U491" s="39"/>
      <c r="V491" s="46" t="s">
        <v>539</v>
      </c>
      <c r="W491" s="46">
        <v>10752.37</v>
      </c>
      <c r="X491" s="46">
        <v>10875.7</v>
      </c>
      <c r="Y491" s="47" t="s">
        <v>540</v>
      </c>
      <c r="Z491" s="47" t="s">
        <v>540</v>
      </c>
      <c r="AA491" s="41" t="s">
        <v>540</v>
      </c>
      <c r="AB491" s="48" t="s">
        <v>540</v>
      </c>
      <c r="AC491" s="40"/>
      <c r="AD491" s="49">
        <v>6808.0471000000007</v>
      </c>
      <c r="AE491" s="50">
        <v>-4.3477752019669751</v>
      </c>
      <c r="AF491" s="50">
        <v>4.9075223782161448</v>
      </c>
      <c r="AG491" s="43" t="s">
        <v>540</v>
      </c>
      <c r="AH491" s="43">
        <v>7117.5</v>
      </c>
      <c r="AI491" s="43">
        <v>6489.57</v>
      </c>
      <c r="AJ491" s="41" t="s">
        <v>539</v>
      </c>
      <c r="AK491" s="41" t="s">
        <v>539</v>
      </c>
      <c r="AL491" s="44"/>
      <c r="AM491" s="49">
        <v>6808.0471000000007</v>
      </c>
      <c r="AN491" s="50">
        <v>-4.3477752019669751</v>
      </c>
      <c r="AO491" s="50">
        <v>4.9075223782161448</v>
      </c>
      <c r="AP491" s="43" t="s">
        <v>539</v>
      </c>
      <c r="AQ491" s="43">
        <v>7117.5</v>
      </c>
      <c r="AR491" s="43">
        <v>6489.57</v>
      </c>
      <c r="AS491" s="41" t="s">
        <v>539</v>
      </c>
      <c r="AT491" s="41" t="s">
        <v>539</v>
      </c>
      <c r="AU491" s="1">
        <v>421177.64455000003</v>
      </c>
    </row>
    <row r="492" spans="2:47" ht="18" customHeight="1" x14ac:dyDescent="0.25">
      <c r="B492" s="2">
        <f>IF(G492=$B$6,MAX(B$7:B491)+1,IF($B$6="Nifty 500 - All Sector",B491+1,0))</f>
        <v>0</v>
      </c>
      <c r="C492" s="45">
        <v>2330</v>
      </c>
      <c r="D492" s="45" t="s">
        <v>511</v>
      </c>
      <c r="E492" s="45" t="s">
        <v>533</v>
      </c>
      <c r="F492" s="45" t="s">
        <v>1046</v>
      </c>
      <c r="G492" s="45" t="s">
        <v>4</v>
      </c>
      <c r="H492" s="45" t="s">
        <v>532</v>
      </c>
      <c r="I492" s="37" t="s">
        <v>540</v>
      </c>
      <c r="J492" s="46">
        <v>7659.0223434766376</v>
      </c>
      <c r="K492" s="39">
        <v>5.1547845833380679</v>
      </c>
      <c r="L492" s="39">
        <v>1.2486148383402895</v>
      </c>
      <c r="M492" s="46" t="s">
        <v>539</v>
      </c>
      <c r="N492" s="46">
        <v>7283.5700000000006</v>
      </c>
      <c r="O492" s="46">
        <v>7564.57</v>
      </c>
      <c r="P492" s="47" t="s">
        <v>540</v>
      </c>
      <c r="Q492" s="47" t="s">
        <v>540</v>
      </c>
      <c r="R492" s="40"/>
      <c r="S492" s="38">
        <v>5938.8642857142859</v>
      </c>
      <c r="T492" s="39"/>
      <c r="U492" s="39"/>
      <c r="V492" s="46" t="s">
        <v>539</v>
      </c>
      <c r="W492" s="46">
        <v>5472.2</v>
      </c>
      <c r="X492" s="46">
        <v>5379.77</v>
      </c>
      <c r="Y492" s="47" t="s">
        <v>540</v>
      </c>
      <c r="Z492" s="47" t="s">
        <v>540</v>
      </c>
      <c r="AA492" s="41" t="s">
        <v>540</v>
      </c>
      <c r="AB492" s="48" t="s">
        <v>540</v>
      </c>
      <c r="AC492" s="40"/>
      <c r="AD492" s="49">
        <v>3805.4889000000003</v>
      </c>
      <c r="AE492" s="50">
        <v>7.1443545980280243</v>
      </c>
      <c r="AF492" s="50">
        <v>10.427576941157369</v>
      </c>
      <c r="AG492" s="43" t="s">
        <v>540</v>
      </c>
      <c r="AH492" s="43">
        <v>3551.74</v>
      </c>
      <c r="AI492" s="43">
        <v>3446.14</v>
      </c>
      <c r="AJ492" s="41" t="s">
        <v>539</v>
      </c>
      <c r="AK492" s="41" t="s">
        <v>539</v>
      </c>
      <c r="AL492" s="44"/>
      <c r="AM492" s="49">
        <v>3805.4889000000003</v>
      </c>
      <c r="AN492" s="50">
        <v>7.1443545980280243</v>
      </c>
      <c r="AO492" s="50">
        <v>10.427576941157369</v>
      </c>
      <c r="AP492" s="43" t="s">
        <v>539</v>
      </c>
      <c r="AQ492" s="43">
        <v>3551.74</v>
      </c>
      <c r="AR492" s="43">
        <v>3446.14</v>
      </c>
      <c r="AS492" s="41" t="s">
        <v>539</v>
      </c>
      <c r="AT492" s="41" t="s">
        <v>539</v>
      </c>
      <c r="AU492" s="1">
        <v>380203.62271375</v>
      </c>
    </row>
    <row r="493" spans="2:47" ht="18" customHeight="1" x14ac:dyDescent="0.25">
      <c r="B493" s="2">
        <f>IF(G493=$B$6,MAX(B$7:B492)+1,IF($B$6="Nifty 500 - All Sector",B492+1,0))</f>
        <v>0</v>
      </c>
      <c r="C493" s="45">
        <v>5456</v>
      </c>
      <c r="D493" s="45" t="s">
        <v>512</v>
      </c>
      <c r="E493" s="45" t="s">
        <v>533</v>
      </c>
      <c r="F493" s="45" t="s">
        <v>1047</v>
      </c>
      <c r="G493" s="45" t="s">
        <v>4</v>
      </c>
      <c r="H493" s="45" t="s">
        <v>532</v>
      </c>
      <c r="I493" s="37" t="s">
        <v>540</v>
      </c>
      <c r="J493" s="46">
        <v>12268.940805235559</v>
      </c>
      <c r="K493" s="39">
        <v>11.337139316252532</v>
      </c>
      <c r="L493" s="39">
        <v>3.9705501952099986</v>
      </c>
      <c r="M493" s="46" t="s">
        <v>539</v>
      </c>
      <c r="N493" s="46">
        <v>11019.630000000001</v>
      </c>
      <c r="O493" s="46">
        <v>11800.399999999998</v>
      </c>
      <c r="P493" s="47" t="s">
        <v>540</v>
      </c>
      <c r="Q493" s="47" t="s">
        <v>540</v>
      </c>
      <c r="R493" s="40"/>
      <c r="S493" s="38">
        <v>8086.0062500000004</v>
      </c>
      <c r="T493" s="39"/>
      <c r="U493" s="39"/>
      <c r="V493" s="46" t="s">
        <v>539</v>
      </c>
      <c r="W493" s="46">
        <v>8132.12</v>
      </c>
      <c r="X493" s="46">
        <v>7377.12</v>
      </c>
      <c r="Y493" s="47" t="s">
        <v>540</v>
      </c>
      <c r="Z493" s="47" t="s">
        <v>540</v>
      </c>
      <c r="AA493" s="41" t="s">
        <v>540</v>
      </c>
      <c r="AB493" s="48" t="s">
        <v>540</v>
      </c>
      <c r="AC493" s="40"/>
      <c r="AD493" s="49">
        <v>4907.8118000000004</v>
      </c>
      <c r="AE493" s="50">
        <v>-2.7719034100476714</v>
      </c>
      <c r="AF493" s="50">
        <v>-2.9046280340994213</v>
      </c>
      <c r="AG493" s="43" t="s">
        <v>540</v>
      </c>
      <c r="AH493" s="43">
        <v>5047.7299999999996</v>
      </c>
      <c r="AI493" s="43">
        <v>5054.63</v>
      </c>
      <c r="AJ493" s="41" t="s">
        <v>539</v>
      </c>
      <c r="AK493" s="41" t="s">
        <v>539</v>
      </c>
      <c r="AL493" s="44"/>
      <c r="AM493" s="49">
        <v>4907.8118000000004</v>
      </c>
      <c r="AN493" s="50">
        <v>-2.7719034100476714</v>
      </c>
      <c r="AO493" s="50">
        <v>-2.9046280340994213</v>
      </c>
      <c r="AP493" s="43" t="s">
        <v>539</v>
      </c>
      <c r="AQ493" s="43">
        <v>5047.7299999999996</v>
      </c>
      <c r="AR493" s="43">
        <v>5054.63</v>
      </c>
      <c r="AS493" s="41" t="s">
        <v>539</v>
      </c>
      <c r="AT493" s="41" t="s">
        <v>539</v>
      </c>
      <c r="AU493" s="1">
        <v>144022.43668514999</v>
      </c>
    </row>
    <row r="494" spans="2:47" ht="18" customHeight="1" x14ac:dyDescent="0.25">
      <c r="B494" s="2">
        <f>IF(G494=$B$6,MAX(B$7:B493)+1,IF($B$6="Nifty 500 - All Sector",B493+1,0))</f>
        <v>0</v>
      </c>
      <c r="C494" s="45">
        <v>5493</v>
      </c>
      <c r="D494" s="45" t="s">
        <v>513</v>
      </c>
      <c r="E494" s="45" t="s">
        <v>533</v>
      </c>
      <c r="F494" s="45" t="s">
        <v>1048</v>
      </c>
      <c r="G494" s="45" t="s">
        <v>4</v>
      </c>
      <c r="H494" s="45" t="s">
        <v>532</v>
      </c>
      <c r="I494" s="37" t="s">
        <v>540</v>
      </c>
      <c r="J494" s="46" t="s">
        <v>539</v>
      </c>
      <c r="K494" s="39" t="s">
        <v>540</v>
      </c>
      <c r="L494" s="39" t="s">
        <v>540</v>
      </c>
      <c r="M494" s="46" t="s">
        <v>539</v>
      </c>
      <c r="N494" s="46">
        <v>9514.0500000000029</v>
      </c>
      <c r="O494" s="46">
        <v>9327.93</v>
      </c>
      <c r="P494" s="47" t="s">
        <v>540</v>
      </c>
      <c r="Q494" s="47" t="s">
        <v>540</v>
      </c>
      <c r="R494" s="40"/>
      <c r="S494" s="38">
        <v>6992.6600000000008</v>
      </c>
      <c r="T494" s="39"/>
      <c r="U494" s="39"/>
      <c r="V494" s="46" t="s">
        <v>539</v>
      </c>
      <c r="W494" s="46">
        <v>7700.15</v>
      </c>
      <c r="X494" s="46">
        <v>6941.6</v>
      </c>
      <c r="Y494" s="47" t="s">
        <v>540</v>
      </c>
      <c r="Z494" s="47" t="s">
        <v>540</v>
      </c>
      <c r="AA494" s="41" t="s">
        <v>540</v>
      </c>
      <c r="AB494" s="48" t="s">
        <v>540</v>
      </c>
      <c r="AC494" s="40"/>
      <c r="AD494" s="49">
        <v>4248.75</v>
      </c>
      <c r="AE494" s="50">
        <v>-14.767940107363808</v>
      </c>
      <c r="AF494" s="50">
        <v>-15.309053434779752</v>
      </c>
      <c r="AG494" s="43" t="s">
        <v>540</v>
      </c>
      <c r="AH494" s="43">
        <v>4984.92</v>
      </c>
      <c r="AI494" s="43">
        <v>5016.7700000000004</v>
      </c>
      <c r="AJ494" s="41" t="s">
        <v>539</v>
      </c>
      <c r="AK494" s="41" t="s">
        <v>539</v>
      </c>
      <c r="AL494" s="44"/>
      <c r="AM494" s="49">
        <v>4248.75</v>
      </c>
      <c r="AN494" s="50">
        <v>-14.767940107363808</v>
      </c>
      <c r="AO494" s="50">
        <v>-15.309053434779752</v>
      </c>
      <c r="AP494" s="43" t="s">
        <v>539</v>
      </c>
      <c r="AQ494" s="43">
        <v>4984.92</v>
      </c>
      <c r="AR494" s="43">
        <v>5016.7700000000004</v>
      </c>
      <c r="AS494" s="41" t="s">
        <v>539</v>
      </c>
      <c r="AT494" s="41" t="s">
        <v>539</v>
      </c>
      <c r="AU494" s="1">
        <v>143931.63371998499</v>
      </c>
    </row>
    <row r="495" spans="2:47" ht="18" customHeight="1" x14ac:dyDescent="0.25">
      <c r="B495" s="2">
        <f>IF(G495=$B$6,MAX(B$7:B494)+1,IF($B$6="Nifty 500 - All Sector",B494+1,0))</f>
        <v>0</v>
      </c>
      <c r="C495" s="45">
        <v>7855</v>
      </c>
      <c r="D495" s="45" t="s">
        <v>514</v>
      </c>
      <c r="E495" s="45" t="s">
        <v>533</v>
      </c>
      <c r="F495" s="45" t="s">
        <v>1049</v>
      </c>
      <c r="G495" s="45" t="s">
        <v>4</v>
      </c>
      <c r="H495" s="45" t="s">
        <v>532</v>
      </c>
      <c r="I495" s="37" t="s">
        <v>540</v>
      </c>
      <c r="J495" s="46">
        <v>11048.235644025632</v>
      </c>
      <c r="K495" s="39">
        <v>2.7075967792599132</v>
      </c>
      <c r="L495" s="39">
        <v>4.895815118666369</v>
      </c>
      <c r="M495" s="46" t="s">
        <v>539</v>
      </c>
      <c r="N495" s="46">
        <v>10756.98</v>
      </c>
      <c r="O495" s="46">
        <v>10532.580000000002</v>
      </c>
      <c r="P495" s="47" t="s">
        <v>540</v>
      </c>
      <c r="Q495" s="47" t="s">
        <v>540</v>
      </c>
      <c r="R495" s="40"/>
      <c r="S495" s="38">
        <v>7188.0333333333328</v>
      </c>
      <c r="T495" s="39"/>
      <c r="U495" s="39"/>
      <c r="V495" s="46" t="s">
        <v>539</v>
      </c>
      <c r="W495" s="46">
        <v>6775.65</v>
      </c>
      <c r="X495" s="46">
        <v>7480.87</v>
      </c>
      <c r="Y495" s="47" t="s">
        <v>540</v>
      </c>
      <c r="Z495" s="47" t="s">
        <v>540</v>
      </c>
      <c r="AA495" s="41" t="s">
        <v>540</v>
      </c>
      <c r="AB495" s="48" t="s">
        <v>540</v>
      </c>
      <c r="AC495" s="40"/>
      <c r="AD495" s="49">
        <v>4575.1666999999998</v>
      </c>
      <c r="AE495" s="50">
        <v>0.17881979417559979</v>
      </c>
      <c r="AF495" s="50">
        <v>-10.293487446447646</v>
      </c>
      <c r="AG495" s="43" t="s">
        <v>540</v>
      </c>
      <c r="AH495" s="43">
        <v>4567</v>
      </c>
      <c r="AI495" s="43">
        <v>5100.1499999999996</v>
      </c>
      <c r="AJ495" s="41" t="s">
        <v>539</v>
      </c>
      <c r="AK495" s="41" t="s">
        <v>539</v>
      </c>
      <c r="AL495" s="44"/>
      <c r="AM495" s="49">
        <v>4575.1666999999998</v>
      </c>
      <c r="AN495" s="50">
        <v>0.17881979417559979</v>
      </c>
      <c r="AO495" s="50">
        <v>-10.293487446447646</v>
      </c>
      <c r="AP495" s="43" t="s">
        <v>539</v>
      </c>
      <c r="AQ495" s="43">
        <v>4567</v>
      </c>
      <c r="AR495" s="43">
        <v>5100.1499999999996</v>
      </c>
      <c r="AS495" s="41" t="s">
        <v>539</v>
      </c>
      <c r="AT495" s="41" t="s">
        <v>539</v>
      </c>
      <c r="AU495" s="1">
        <v>129927.72364474001</v>
      </c>
    </row>
    <row r="496" spans="2:47" ht="18" customHeight="1" x14ac:dyDescent="0.25">
      <c r="B496" s="2">
        <f>IF(G496=$B$6,MAX(B$7:B495)+1,IF($B$6="Nifty 500 - All Sector",B495+1,0))</f>
        <v>0</v>
      </c>
      <c r="C496" s="45">
        <v>6061</v>
      </c>
      <c r="D496" s="45" t="s">
        <v>515</v>
      </c>
      <c r="E496" s="45" t="s">
        <v>533</v>
      </c>
      <c r="F496" s="45" t="s">
        <v>1050</v>
      </c>
      <c r="G496" s="45" t="s">
        <v>4</v>
      </c>
      <c r="H496" s="45" t="s">
        <v>535</v>
      </c>
      <c r="I496" s="37" t="s">
        <v>540</v>
      </c>
      <c r="J496" s="46">
        <v>6996.8320899990722</v>
      </c>
      <c r="K496" s="39">
        <v>9.5079005030108235</v>
      </c>
      <c r="L496" s="39">
        <v>1.46821504757495</v>
      </c>
      <c r="M496" s="46" t="s">
        <v>539</v>
      </c>
      <c r="N496" s="46">
        <v>6389.34</v>
      </c>
      <c r="O496" s="46">
        <v>6895.5899999999983</v>
      </c>
      <c r="P496" s="47" t="s">
        <v>540</v>
      </c>
      <c r="Q496" s="47" t="s">
        <v>540</v>
      </c>
      <c r="R496" s="40"/>
      <c r="S496" s="38">
        <v>5025.6000000000004</v>
      </c>
      <c r="T496" s="39"/>
      <c r="U496" s="39"/>
      <c r="V496" s="46" t="s">
        <v>539</v>
      </c>
      <c r="W496" s="46">
        <v>5018.67</v>
      </c>
      <c r="X496" s="46">
        <v>5023.58</v>
      </c>
      <c r="Y496" s="47" t="s">
        <v>540</v>
      </c>
      <c r="Z496" s="47" t="s">
        <v>540</v>
      </c>
      <c r="AA496" s="41" t="s">
        <v>540</v>
      </c>
      <c r="AB496" s="48" t="s">
        <v>540</v>
      </c>
      <c r="AC496" s="40"/>
      <c r="AD496" s="49">
        <v>3213.1750000000002</v>
      </c>
      <c r="AE496" s="50">
        <v>8.6975274604457873</v>
      </c>
      <c r="AF496" s="50">
        <v>4.9549564263036139</v>
      </c>
      <c r="AG496" s="43" t="s">
        <v>540</v>
      </c>
      <c r="AH496" s="43">
        <v>2956.07</v>
      </c>
      <c r="AI496" s="43">
        <v>3061.48</v>
      </c>
      <c r="AJ496" s="41" t="s">
        <v>539</v>
      </c>
      <c r="AK496" s="41" t="s">
        <v>539</v>
      </c>
      <c r="AL496" s="44"/>
      <c r="AM496" s="49">
        <v>3213.1750000000002</v>
      </c>
      <c r="AN496" s="50">
        <v>8.6975274604457873</v>
      </c>
      <c r="AO496" s="50">
        <v>4.9549564263036139</v>
      </c>
      <c r="AP496" s="43" t="s">
        <v>539</v>
      </c>
      <c r="AQ496" s="43">
        <v>2956.07</v>
      </c>
      <c r="AR496" s="43">
        <v>3061.48</v>
      </c>
      <c r="AS496" s="41" t="s">
        <v>539</v>
      </c>
      <c r="AT496" s="41" t="s">
        <v>539</v>
      </c>
      <c r="AU496" s="1">
        <v>127341.97476374</v>
      </c>
    </row>
    <row r="497" spans="2:47" ht="18" customHeight="1" x14ac:dyDescent="0.25">
      <c r="B497" s="2">
        <f>IF(G497=$B$6,MAX(B$7:B496)+1,IF($B$6="Nifty 500 - All Sector",B496+1,0))</f>
        <v>0</v>
      </c>
      <c r="C497" s="45">
        <v>5471</v>
      </c>
      <c r="D497" s="45" t="s">
        <v>516</v>
      </c>
      <c r="E497" s="45" t="s">
        <v>533</v>
      </c>
      <c r="F497" s="45" t="s">
        <v>1051</v>
      </c>
      <c r="G497" s="45" t="s">
        <v>4</v>
      </c>
      <c r="H497" s="45" t="s">
        <v>532</v>
      </c>
      <c r="I497" s="37" t="s">
        <v>540</v>
      </c>
      <c r="J497" s="46">
        <v>9578.6447272236219</v>
      </c>
      <c r="K497" s="39">
        <v>1.4480606404589258</v>
      </c>
      <c r="L497" s="39">
        <v>3.526950291641695</v>
      </c>
      <c r="M497" s="46" t="s">
        <v>539</v>
      </c>
      <c r="N497" s="46">
        <v>9441.9200000000019</v>
      </c>
      <c r="O497" s="46">
        <v>9252.32</v>
      </c>
      <c r="P497" s="47" t="s">
        <v>540</v>
      </c>
      <c r="Q497" s="47" t="s">
        <v>540</v>
      </c>
      <c r="R497" s="40"/>
      <c r="S497" s="38">
        <v>8319.9571428571417</v>
      </c>
      <c r="T497" s="39"/>
      <c r="U497" s="39"/>
      <c r="V497" s="46" t="s">
        <v>539</v>
      </c>
      <c r="W497" s="46">
        <v>8283.67</v>
      </c>
      <c r="X497" s="46">
        <v>9119.4699999999993</v>
      </c>
      <c r="Y497" s="47" t="s">
        <v>540</v>
      </c>
      <c r="Z497" s="47" t="s">
        <v>540</v>
      </c>
      <c r="AA497" s="41" t="s">
        <v>540</v>
      </c>
      <c r="AB497" s="48" t="s">
        <v>540</v>
      </c>
      <c r="AC497" s="40"/>
      <c r="AD497" s="49">
        <v>4357.7444000000005</v>
      </c>
      <c r="AE497" s="50">
        <v>-12.891453746606796</v>
      </c>
      <c r="AF497" s="50">
        <v>-15.467479840391363</v>
      </c>
      <c r="AG497" s="43" t="s">
        <v>540</v>
      </c>
      <c r="AH497" s="43">
        <v>5002.66</v>
      </c>
      <c r="AI497" s="43">
        <v>5155.1099999999997</v>
      </c>
      <c r="AJ497" s="41" t="s">
        <v>539</v>
      </c>
      <c r="AK497" s="41" t="s">
        <v>539</v>
      </c>
      <c r="AL497" s="44"/>
      <c r="AM497" s="49">
        <v>4357.7444000000005</v>
      </c>
      <c r="AN497" s="50">
        <v>-12.891453746606796</v>
      </c>
      <c r="AO497" s="50">
        <v>-15.467479840391363</v>
      </c>
      <c r="AP497" s="43" t="s">
        <v>539</v>
      </c>
      <c r="AQ497" s="43">
        <v>5002.66</v>
      </c>
      <c r="AR497" s="43">
        <v>5155.1099999999997</v>
      </c>
      <c r="AS497" s="41" t="s">
        <v>539</v>
      </c>
      <c r="AT497" s="41" t="s">
        <v>539</v>
      </c>
      <c r="AU497" s="1">
        <v>128621.8348668</v>
      </c>
    </row>
    <row r="498" spans="2:47" ht="18" customHeight="1" x14ac:dyDescent="0.25">
      <c r="B498" s="2">
        <f>IF(G498=$B$6,MAX(B$7:B497)+1,IF($B$6="Nifty 500 - All Sector",B497+1,0))</f>
        <v>0</v>
      </c>
      <c r="C498" s="45">
        <v>5433</v>
      </c>
      <c r="D498" s="45" t="s">
        <v>517</v>
      </c>
      <c r="E498" s="45" t="s">
        <v>533</v>
      </c>
      <c r="F498" s="45" t="s">
        <v>1052</v>
      </c>
      <c r="G498" s="45" t="s">
        <v>4</v>
      </c>
      <c r="H498" s="45" t="s">
        <v>529</v>
      </c>
      <c r="I498" s="37" t="s">
        <v>540</v>
      </c>
      <c r="J498" s="46" t="s">
        <v>539</v>
      </c>
      <c r="K498" s="39" t="s">
        <v>540</v>
      </c>
      <c r="L498" s="39" t="s">
        <v>540</v>
      </c>
      <c r="M498" s="46" t="s">
        <v>539</v>
      </c>
      <c r="N498" s="46">
        <v>3289.9300000000003</v>
      </c>
      <c r="O498" s="46">
        <v>3209.44</v>
      </c>
      <c r="P498" s="47" t="s">
        <v>540</v>
      </c>
      <c r="Q498" s="47" t="s">
        <v>540</v>
      </c>
      <c r="R498" s="40"/>
      <c r="S498" s="38" t="s">
        <v>539</v>
      </c>
      <c r="T498" s="39"/>
      <c r="U498" s="39"/>
      <c r="V498" s="46" t="s">
        <v>539</v>
      </c>
      <c r="W498" s="46">
        <v>3194.81</v>
      </c>
      <c r="X498" s="46">
        <v>1917.31</v>
      </c>
      <c r="Y498" s="47" t="s">
        <v>540</v>
      </c>
      <c r="Z498" s="47" t="s">
        <v>540</v>
      </c>
      <c r="AA498" s="41" t="s">
        <v>540</v>
      </c>
      <c r="AB498" s="48" t="s">
        <v>540</v>
      </c>
      <c r="AC498" s="40"/>
      <c r="AD498" s="49" t="s">
        <v>540</v>
      </c>
      <c r="AE498" s="50" t="s">
        <v>539</v>
      </c>
      <c r="AF498" s="50" t="s">
        <v>539</v>
      </c>
      <c r="AG498" s="43" t="s">
        <v>540</v>
      </c>
      <c r="AH498" s="43">
        <v>2051.1799999999998</v>
      </c>
      <c r="AI498" s="43">
        <v>1935.45</v>
      </c>
      <c r="AJ498" s="41" t="s">
        <v>539</v>
      </c>
      <c r="AK498" s="41" t="s">
        <v>539</v>
      </c>
      <c r="AL498" s="44"/>
      <c r="AM498" s="49" t="s">
        <v>539</v>
      </c>
      <c r="AN498" s="50" t="s">
        <v>539</v>
      </c>
      <c r="AO498" s="50" t="s">
        <v>539</v>
      </c>
      <c r="AP498" s="43" t="s">
        <v>539</v>
      </c>
      <c r="AQ498" s="43">
        <v>2051.1799999999998</v>
      </c>
      <c r="AR498" s="43">
        <v>1935.45</v>
      </c>
      <c r="AS498" s="41" t="s">
        <v>539</v>
      </c>
      <c r="AT498" s="41" t="s">
        <v>539</v>
      </c>
      <c r="AU498" s="1">
        <v>79997.872182000006</v>
      </c>
    </row>
    <row r="499" spans="2:47" ht="18" customHeight="1" x14ac:dyDescent="0.25">
      <c r="B499" s="2">
        <f>IF(G499=$B$6,MAX(B$7:B498)+1,IF($B$6="Nifty 500 - All Sector",B498+1,0))</f>
        <v>0</v>
      </c>
      <c r="C499" s="45">
        <v>34695</v>
      </c>
      <c r="D499" s="45" t="s">
        <v>518</v>
      </c>
      <c r="E499" s="45" t="s">
        <v>533</v>
      </c>
      <c r="F499" s="45" t="s">
        <v>1053</v>
      </c>
      <c r="G499" s="45" t="s">
        <v>4</v>
      </c>
      <c r="H499" s="45" t="s">
        <v>535</v>
      </c>
      <c r="I499" s="37" t="s">
        <v>540</v>
      </c>
      <c r="J499" s="46">
        <v>3290</v>
      </c>
      <c r="K499" s="39">
        <v>-22.961680812213359</v>
      </c>
      <c r="L499" s="39">
        <v>-30.40669144949959</v>
      </c>
      <c r="M499" s="46" t="s">
        <v>539</v>
      </c>
      <c r="N499" s="46">
        <v>4270.6019999999999</v>
      </c>
      <c r="O499" s="46">
        <v>4727.4660000000003</v>
      </c>
      <c r="P499" s="47" t="s">
        <v>540</v>
      </c>
      <c r="Q499" s="47" t="s">
        <v>540</v>
      </c>
      <c r="R499" s="40"/>
      <c r="S499" s="38" t="s">
        <v>539</v>
      </c>
      <c r="T499" s="39"/>
      <c r="U499" s="39"/>
      <c r="V499" s="46" t="s">
        <v>539</v>
      </c>
      <c r="W499" s="46">
        <v>2708.27</v>
      </c>
      <c r="X499" s="46">
        <v>2877.7130000000002</v>
      </c>
      <c r="Y499" s="47" t="s">
        <v>540</v>
      </c>
      <c r="Z499" s="47" t="s">
        <v>540</v>
      </c>
      <c r="AA499" s="41" t="s">
        <v>540</v>
      </c>
      <c r="AB499" s="48" t="s">
        <v>540</v>
      </c>
      <c r="AC499" s="40"/>
      <c r="AD499" s="49">
        <v>764.3882000000001</v>
      </c>
      <c r="AE499" s="50">
        <v>51.754956829376297</v>
      </c>
      <c r="AF499" s="50">
        <v>14.488329319290205</v>
      </c>
      <c r="AG499" s="43" t="s">
        <v>539</v>
      </c>
      <c r="AH499" s="43">
        <v>503.69900000000001</v>
      </c>
      <c r="AI499" s="43">
        <v>667.65599999999995</v>
      </c>
      <c r="AJ499" s="41" t="s">
        <v>539</v>
      </c>
      <c r="AK499" s="41" t="s">
        <v>539</v>
      </c>
      <c r="AL499" s="44"/>
      <c r="AM499" s="49">
        <v>764.3882000000001</v>
      </c>
      <c r="AN499" s="50">
        <v>51.754956829376297</v>
      </c>
      <c r="AO499" s="50">
        <v>14.488329319290205</v>
      </c>
      <c r="AP499" s="43" t="s">
        <v>539</v>
      </c>
      <c r="AQ499" s="43">
        <v>503.69900000000001</v>
      </c>
      <c r="AR499" s="43">
        <v>667.65599999999995</v>
      </c>
      <c r="AS499" s="41" t="s">
        <v>539</v>
      </c>
      <c r="AT499" s="41" t="s">
        <v>539</v>
      </c>
      <c r="AU499" s="1">
        <v>73419.969912519999</v>
      </c>
    </row>
    <row r="500" spans="2:47" ht="18" customHeight="1" x14ac:dyDescent="0.25">
      <c r="B500" s="2">
        <f>IF(G500=$B$6,MAX(B$7:B499)+1,IF($B$6="Nifty 500 - All Sector",B499+1,0))</f>
        <v>0</v>
      </c>
      <c r="C500" s="45">
        <v>5654</v>
      </c>
      <c r="D500" s="45" t="s">
        <v>519</v>
      </c>
      <c r="E500" s="45" t="s">
        <v>533</v>
      </c>
      <c r="F500" s="45" t="s">
        <v>1054</v>
      </c>
      <c r="G500" s="45" t="s">
        <v>4</v>
      </c>
      <c r="H500" s="45" t="s">
        <v>535</v>
      </c>
      <c r="I500" s="37" t="s">
        <v>540</v>
      </c>
      <c r="J500" s="46" t="s">
        <v>539</v>
      </c>
      <c r="K500" s="39" t="s">
        <v>540</v>
      </c>
      <c r="L500" s="39" t="s">
        <v>540</v>
      </c>
      <c r="M500" s="46" t="s">
        <v>539</v>
      </c>
      <c r="N500" s="46">
        <v>6062.7199999999993</v>
      </c>
      <c r="O500" s="46">
        <v>6460.6900000000005</v>
      </c>
      <c r="P500" s="47" t="s">
        <v>540</v>
      </c>
      <c r="Q500" s="47" t="s">
        <v>540</v>
      </c>
      <c r="R500" s="40"/>
      <c r="S500" s="38" t="s">
        <v>539</v>
      </c>
      <c r="T500" s="39"/>
      <c r="U500" s="39"/>
      <c r="V500" s="46" t="s">
        <v>539</v>
      </c>
      <c r="W500" s="46">
        <v>4884.83</v>
      </c>
      <c r="X500" s="46">
        <v>4192.79</v>
      </c>
      <c r="Y500" s="47" t="s">
        <v>540</v>
      </c>
      <c r="Z500" s="47" t="s">
        <v>540</v>
      </c>
      <c r="AA500" s="41" t="s">
        <v>540</v>
      </c>
      <c r="AB500" s="48" t="s">
        <v>540</v>
      </c>
      <c r="AC500" s="40"/>
      <c r="AD500" s="49" t="s">
        <v>540</v>
      </c>
      <c r="AE500" s="50" t="s">
        <v>539</v>
      </c>
      <c r="AF500" s="50" t="s">
        <v>539</v>
      </c>
      <c r="AG500" s="43" t="s">
        <v>540</v>
      </c>
      <c r="AH500" s="43">
        <v>2625.91</v>
      </c>
      <c r="AI500" s="43">
        <v>2704.67</v>
      </c>
      <c r="AJ500" s="41" t="s">
        <v>539</v>
      </c>
      <c r="AK500" s="41" t="s">
        <v>539</v>
      </c>
      <c r="AL500" s="44"/>
      <c r="AM500" s="49" t="s">
        <v>539</v>
      </c>
      <c r="AN500" s="50" t="s">
        <v>539</v>
      </c>
      <c r="AO500" s="50" t="s">
        <v>539</v>
      </c>
      <c r="AP500" s="43" t="s">
        <v>539</v>
      </c>
      <c r="AQ500" s="43">
        <v>2625.91</v>
      </c>
      <c r="AR500" s="43">
        <v>2704.67</v>
      </c>
      <c r="AS500" s="41" t="s">
        <v>539</v>
      </c>
      <c r="AT500" s="41" t="s">
        <v>539</v>
      </c>
      <c r="AU500" s="1">
        <v>67220.141041490002</v>
      </c>
    </row>
    <row r="501" spans="2:47" ht="18" customHeight="1" x14ac:dyDescent="0.25">
      <c r="B501" s="2">
        <f>IF(G501=$B$6,MAX(B$7:B500)+1,IF($B$6="Nifty 500 - All Sector",B500+1,0))</f>
        <v>0</v>
      </c>
      <c r="C501" s="45">
        <v>5955</v>
      </c>
      <c r="D501" s="45" t="s">
        <v>520</v>
      </c>
      <c r="E501" s="45" t="s">
        <v>533</v>
      </c>
      <c r="F501" s="45" t="s">
        <v>1055</v>
      </c>
      <c r="G501" s="45" t="s">
        <v>4</v>
      </c>
      <c r="H501" s="45" t="s">
        <v>529</v>
      </c>
      <c r="I501" s="37" t="s">
        <v>540</v>
      </c>
      <c r="J501" s="46" t="s">
        <v>539</v>
      </c>
      <c r="K501" s="39" t="s">
        <v>540</v>
      </c>
      <c r="L501" s="39" t="s">
        <v>540</v>
      </c>
      <c r="M501" s="46" t="s">
        <v>539</v>
      </c>
      <c r="N501" s="46">
        <v>3122.95</v>
      </c>
      <c r="O501" s="46">
        <v>3298.54</v>
      </c>
      <c r="P501" s="47" t="s">
        <v>540</v>
      </c>
      <c r="Q501" s="47" t="s">
        <v>540</v>
      </c>
      <c r="R501" s="40"/>
      <c r="S501" s="38" t="s">
        <v>539</v>
      </c>
      <c r="T501" s="39"/>
      <c r="U501" s="39"/>
      <c r="V501" s="46" t="s">
        <v>539</v>
      </c>
      <c r="W501" s="46">
        <v>2617.92</v>
      </c>
      <c r="X501" s="46">
        <v>2603.1</v>
      </c>
      <c r="Y501" s="47" t="s">
        <v>540</v>
      </c>
      <c r="Z501" s="47" t="s">
        <v>540</v>
      </c>
      <c r="AA501" s="41" t="s">
        <v>540</v>
      </c>
      <c r="AB501" s="48" t="s">
        <v>540</v>
      </c>
      <c r="AC501" s="40"/>
      <c r="AD501" s="49" t="s">
        <v>540</v>
      </c>
      <c r="AE501" s="50" t="s">
        <v>539</v>
      </c>
      <c r="AF501" s="50" t="s">
        <v>539</v>
      </c>
      <c r="AG501" s="43" t="s">
        <v>540</v>
      </c>
      <c r="AH501" s="43">
        <v>1051.07</v>
      </c>
      <c r="AI501" s="43">
        <v>1365.12</v>
      </c>
      <c r="AJ501" s="41" t="s">
        <v>539</v>
      </c>
      <c r="AK501" s="41" t="s">
        <v>539</v>
      </c>
      <c r="AL501" s="44"/>
      <c r="AM501" s="49" t="s">
        <v>539</v>
      </c>
      <c r="AN501" s="50" t="s">
        <v>539</v>
      </c>
      <c r="AO501" s="50" t="s">
        <v>539</v>
      </c>
      <c r="AP501" s="43" t="s">
        <v>539</v>
      </c>
      <c r="AQ501" s="43">
        <v>1051.07</v>
      </c>
      <c r="AR501" s="43">
        <v>1365.12</v>
      </c>
      <c r="AS501" s="41" t="s">
        <v>539</v>
      </c>
      <c r="AT501" s="41" t="s">
        <v>539</v>
      </c>
      <c r="AU501" s="1">
        <v>67629.143360040005</v>
      </c>
    </row>
    <row r="502" spans="2:47" ht="18" customHeight="1" x14ac:dyDescent="0.25">
      <c r="B502" s="2">
        <f>IF(G502=$B$6,MAX(B$7:B501)+1,IF($B$6="Nifty 500 - All Sector",B501+1,0))</f>
        <v>0</v>
      </c>
      <c r="C502" s="45">
        <v>5539</v>
      </c>
      <c r="D502" s="45" t="s">
        <v>521</v>
      </c>
      <c r="E502" s="45" t="s">
        <v>533</v>
      </c>
      <c r="F502" s="45" t="s">
        <v>1056</v>
      </c>
      <c r="G502" s="45" t="s">
        <v>4</v>
      </c>
      <c r="H502" s="45" t="s">
        <v>529</v>
      </c>
      <c r="I502" s="37" t="s">
        <v>540</v>
      </c>
      <c r="J502" s="46" t="s">
        <v>539</v>
      </c>
      <c r="K502" s="39" t="s">
        <v>540</v>
      </c>
      <c r="L502" s="39" t="s">
        <v>540</v>
      </c>
      <c r="M502" s="46" t="s">
        <v>539</v>
      </c>
      <c r="N502" s="46">
        <v>3398.5600000000004</v>
      </c>
      <c r="O502" s="46">
        <v>3502.4100000000008</v>
      </c>
      <c r="P502" s="47" t="s">
        <v>540</v>
      </c>
      <c r="Q502" s="47" t="s">
        <v>540</v>
      </c>
      <c r="R502" s="40"/>
      <c r="S502" s="38" t="s">
        <v>539</v>
      </c>
      <c r="T502" s="39"/>
      <c r="U502" s="39"/>
      <c r="V502" s="46" t="s">
        <v>539</v>
      </c>
      <c r="W502" s="46">
        <v>2002.96</v>
      </c>
      <c r="X502" s="46">
        <v>2292.5</v>
      </c>
      <c r="Y502" s="47" t="s">
        <v>540</v>
      </c>
      <c r="Z502" s="47" t="s">
        <v>540</v>
      </c>
      <c r="AA502" s="41" t="s">
        <v>540</v>
      </c>
      <c r="AB502" s="48" t="s">
        <v>540</v>
      </c>
      <c r="AC502" s="40"/>
      <c r="AD502" s="49" t="s">
        <v>540</v>
      </c>
      <c r="AE502" s="50" t="s">
        <v>539</v>
      </c>
      <c r="AF502" s="50" t="s">
        <v>539</v>
      </c>
      <c r="AG502" s="43" t="s">
        <v>540</v>
      </c>
      <c r="AH502" s="43">
        <v>1033.55</v>
      </c>
      <c r="AI502" s="43">
        <v>1262.5999999999999</v>
      </c>
      <c r="AJ502" s="41" t="s">
        <v>539</v>
      </c>
      <c r="AK502" s="41" t="s">
        <v>539</v>
      </c>
      <c r="AL502" s="44"/>
      <c r="AM502" s="49" t="s">
        <v>539</v>
      </c>
      <c r="AN502" s="50" t="s">
        <v>539</v>
      </c>
      <c r="AO502" s="50" t="s">
        <v>539</v>
      </c>
      <c r="AP502" s="43" t="s">
        <v>539</v>
      </c>
      <c r="AQ502" s="43">
        <v>1033.55</v>
      </c>
      <c r="AR502" s="43">
        <v>1262.5999999999999</v>
      </c>
      <c r="AS502" s="41" t="s">
        <v>539</v>
      </c>
      <c r="AT502" s="41" t="s">
        <v>539</v>
      </c>
      <c r="AU502" s="1">
        <v>32340.656752002</v>
      </c>
    </row>
    <row r="503" spans="2:47" ht="18" customHeight="1" x14ac:dyDescent="0.25">
      <c r="B503" s="2">
        <f>IF(G503=$B$6,MAX(B$7:B502)+1,IF($B$6="Nifty 500 - All Sector",B502+1,0))</f>
        <v>0</v>
      </c>
      <c r="C503" s="45">
        <v>5475</v>
      </c>
      <c r="D503" s="45" t="s">
        <v>522</v>
      </c>
      <c r="E503" s="45" t="s">
        <v>533</v>
      </c>
      <c r="F503" s="45" t="s">
        <v>1057</v>
      </c>
      <c r="G503" s="45" t="s">
        <v>4</v>
      </c>
      <c r="H503" s="45" t="s">
        <v>529</v>
      </c>
      <c r="I503" s="37" t="s">
        <v>540</v>
      </c>
      <c r="J503" s="46" t="s">
        <v>539</v>
      </c>
      <c r="K503" s="39" t="s">
        <v>540</v>
      </c>
      <c r="L503" s="39" t="s">
        <v>540</v>
      </c>
      <c r="M503" s="46" t="s">
        <v>539</v>
      </c>
      <c r="N503" s="46">
        <v>2698.4900000000002</v>
      </c>
      <c r="O503" s="46">
        <v>2646.1200000000003</v>
      </c>
      <c r="P503" s="47" t="s">
        <v>540</v>
      </c>
      <c r="Q503" s="47" t="s">
        <v>540</v>
      </c>
      <c r="R503" s="40"/>
      <c r="S503" s="38" t="s">
        <v>539</v>
      </c>
      <c r="T503" s="39"/>
      <c r="U503" s="39"/>
      <c r="V503" s="46" t="s">
        <v>539</v>
      </c>
      <c r="W503" s="46">
        <v>1698.77</v>
      </c>
      <c r="X503" s="46">
        <v>1680.24</v>
      </c>
      <c r="Y503" s="47" t="s">
        <v>540</v>
      </c>
      <c r="Z503" s="47" t="s">
        <v>540</v>
      </c>
      <c r="AA503" s="41" t="s">
        <v>540</v>
      </c>
      <c r="AB503" s="48" t="s">
        <v>540</v>
      </c>
      <c r="AC503" s="40"/>
      <c r="AD503" s="49" t="s">
        <v>540</v>
      </c>
      <c r="AE503" s="50" t="s">
        <v>539</v>
      </c>
      <c r="AF503" s="50" t="s">
        <v>539</v>
      </c>
      <c r="AG503" s="43" t="s">
        <v>540</v>
      </c>
      <c r="AH503" s="43">
        <v>652.42999999999995</v>
      </c>
      <c r="AI503" s="43">
        <v>739.51</v>
      </c>
      <c r="AJ503" s="41" t="s">
        <v>539</v>
      </c>
      <c r="AK503" s="41" t="s">
        <v>539</v>
      </c>
      <c r="AL503" s="44"/>
      <c r="AM503" s="49" t="s">
        <v>539</v>
      </c>
      <c r="AN503" s="50" t="s">
        <v>539</v>
      </c>
      <c r="AO503" s="50" t="s">
        <v>539</v>
      </c>
      <c r="AP503" s="43" t="s">
        <v>539</v>
      </c>
      <c r="AQ503" s="43">
        <v>652.42999999999995</v>
      </c>
      <c r="AR503" s="43">
        <v>739.51</v>
      </c>
      <c r="AS503" s="41" t="s">
        <v>539</v>
      </c>
      <c r="AT503" s="41" t="s">
        <v>539</v>
      </c>
      <c r="AU503" s="1">
        <v>33217.291735371</v>
      </c>
    </row>
    <row r="504" spans="2:47" ht="18" customHeight="1" x14ac:dyDescent="0.25">
      <c r="B504" s="2">
        <f>IF(G504=$B$6,MAX(B$7:B503)+1,IF($B$6="Nifty 500 - All Sector",B503+1,0))</f>
        <v>0</v>
      </c>
      <c r="C504" s="45">
        <v>2722</v>
      </c>
      <c r="D504" s="45" t="s">
        <v>523</v>
      </c>
      <c r="E504" s="45" t="s">
        <v>533</v>
      </c>
      <c r="F504" s="45" t="s">
        <v>1058</v>
      </c>
      <c r="G504" s="45" t="s">
        <v>4</v>
      </c>
      <c r="H504" s="45" t="s">
        <v>529</v>
      </c>
      <c r="I504" s="37" t="s">
        <v>540</v>
      </c>
      <c r="J504" s="46">
        <v>1264.5045538366253</v>
      </c>
      <c r="K504" s="39">
        <v>16.088404406351621</v>
      </c>
      <c r="L504" s="39">
        <v>2.0378901623260504</v>
      </c>
      <c r="M504" s="46" t="s">
        <v>539</v>
      </c>
      <c r="N504" s="46">
        <v>1089.2599999999998</v>
      </c>
      <c r="O504" s="46">
        <v>1239.2499999999998</v>
      </c>
      <c r="P504" s="47" t="s">
        <v>540</v>
      </c>
      <c r="Q504" s="47" t="s">
        <v>540</v>
      </c>
      <c r="R504" s="40"/>
      <c r="S504" s="38">
        <v>1003.1875</v>
      </c>
      <c r="T504" s="39"/>
      <c r="U504" s="39"/>
      <c r="V504" s="46" t="s">
        <v>539</v>
      </c>
      <c r="W504" s="46">
        <v>834.97</v>
      </c>
      <c r="X504" s="46">
        <v>1005.34</v>
      </c>
      <c r="Y504" s="47" t="s">
        <v>540</v>
      </c>
      <c r="Z504" s="47" t="s">
        <v>540</v>
      </c>
      <c r="AA504" s="41" t="s">
        <v>540</v>
      </c>
      <c r="AB504" s="48" t="s">
        <v>540</v>
      </c>
      <c r="AC504" s="40"/>
      <c r="AD504" s="49">
        <v>659</v>
      </c>
      <c r="AE504" s="50">
        <v>28.369954807542452</v>
      </c>
      <c r="AF504" s="50">
        <v>-4.4872166502405992</v>
      </c>
      <c r="AG504" s="43" t="s">
        <v>540</v>
      </c>
      <c r="AH504" s="43">
        <v>513.36</v>
      </c>
      <c r="AI504" s="43">
        <v>689.96</v>
      </c>
      <c r="AJ504" s="41" t="s">
        <v>539</v>
      </c>
      <c r="AK504" s="41" t="s">
        <v>539</v>
      </c>
      <c r="AL504" s="44"/>
      <c r="AM504" s="49">
        <v>659</v>
      </c>
      <c r="AN504" s="50">
        <v>28.369954807542452</v>
      </c>
      <c r="AO504" s="50">
        <v>-4.4872166502405992</v>
      </c>
      <c r="AP504" s="43" t="s">
        <v>539</v>
      </c>
      <c r="AQ504" s="43">
        <v>513.36</v>
      </c>
      <c r="AR504" s="43">
        <v>689.96</v>
      </c>
      <c r="AS504" s="41" t="s">
        <v>539</v>
      </c>
      <c r="AT504" s="41" t="s">
        <v>539</v>
      </c>
      <c r="AU504" s="1">
        <v>27051.594438715001</v>
      </c>
    </row>
    <row r="505" spans="2:47" ht="18" customHeight="1" x14ac:dyDescent="0.25">
      <c r="B505" s="2">
        <f>IF(G505=$B$6,MAX(B$7:B504)+1,IF($B$6="Nifty 500 - All Sector",B504+1,0))</f>
        <v>0</v>
      </c>
      <c r="C505" s="45">
        <v>5982</v>
      </c>
      <c r="D505" s="45" t="s">
        <v>524</v>
      </c>
      <c r="E505" s="45" t="s">
        <v>533</v>
      </c>
      <c r="F505" s="45" t="s">
        <v>1059</v>
      </c>
      <c r="G505" s="45" t="s">
        <v>4</v>
      </c>
      <c r="H505" s="45" t="s">
        <v>529</v>
      </c>
      <c r="I505" s="37" t="s">
        <v>540</v>
      </c>
      <c r="J505" s="46">
        <v>1739.0762285668163</v>
      </c>
      <c r="K505" s="39">
        <v>11.263850018989906</v>
      </c>
      <c r="L505" s="39">
        <v>4.9381036281296975</v>
      </c>
      <c r="M505" s="46" t="s">
        <v>539</v>
      </c>
      <c r="N505" s="46">
        <v>1563.0200000000002</v>
      </c>
      <c r="O505" s="46">
        <v>1657.2399999999998</v>
      </c>
      <c r="P505" s="47" t="s">
        <v>540</v>
      </c>
      <c r="Q505" s="47" t="s">
        <v>540</v>
      </c>
      <c r="R505" s="40"/>
      <c r="S505" s="38">
        <v>993.71111111111111</v>
      </c>
      <c r="T505" s="39"/>
      <c r="U505" s="39"/>
      <c r="V505" s="46" t="s">
        <v>539</v>
      </c>
      <c r="W505" s="46">
        <v>861.19</v>
      </c>
      <c r="X505" s="46">
        <v>912.43</v>
      </c>
      <c r="Y505" s="47" t="s">
        <v>540</v>
      </c>
      <c r="Z505" s="47" t="s">
        <v>540</v>
      </c>
      <c r="AA505" s="41" t="s">
        <v>540</v>
      </c>
      <c r="AB505" s="48" t="s">
        <v>540</v>
      </c>
      <c r="AC505" s="40"/>
      <c r="AD505" s="49">
        <v>259.51429999999999</v>
      </c>
      <c r="AE505" s="50">
        <v>277.75007278020377</v>
      </c>
      <c r="AF505" s="50">
        <v>21.336403590798582</v>
      </c>
      <c r="AG505" s="43" t="s">
        <v>540</v>
      </c>
      <c r="AH505" s="43">
        <v>68.7</v>
      </c>
      <c r="AI505" s="43">
        <v>213.88</v>
      </c>
      <c r="AJ505" s="41" t="s">
        <v>539</v>
      </c>
      <c r="AK505" s="41" t="s">
        <v>539</v>
      </c>
      <c r="AL505" s="44"/>
      <c r="AM505" s="49">
        <v>259.51429999999999</v>
      </c>
      <c r="AN505" s="50">
        <v>277.75007278020377</v>
      </c>
      <c r="AO505" s="50">
        <v>21.336403590798582</v>
      </c>
      <c r="AP505" s="43" t="s">
        <v>539</v>
      </c>
      <c r="AQ505" s="43">
        <v>68.7</v>
      </c>
      <c r="AR505" s="43">
        <v>213.88</v>
      </c>
      <c r="AS505" s="41" t="s">
        <v>539</v>
      </c>
      <c r="AT505" s="41" t="s">
        <v>539</v>
      </c>
      <c r="AU505" s="1">
        <v>19759.224285184999</v>
      </c>
    </row>
    <row r="506" spans="2:47" ht="18" customHeight="1" x14ac:dyDescent="0.25">
      <c r="B506" s="2">
        <f>IF(G506=$B$6,MAX(B$7:B505)+1,IF($B$6="Nifty 500 - All Sector",B505+1,0))</f>
        <v>0</v>
      </c>
      <c r="C506" s="45">
        <v>7015</v>
      </c>
      <c r="D506" s="45" t="s">
        <v>525</v>
      </c>
      <c r="E506" s="45" t="s">
        <v>533</v>
      </c>
      <c r="F506" s="45" t="s">
        <v>1060</v>
      </c>
      <c r="G506" s="45" t="s">
        <v>4</v>
      </c>
      <c r="H506" s="45" t="s">
        <v>529</v>
      </c>
      <c r="I506" s="37" t="s">
        <v>540</v>
      </c>
      <c r="J506" s="46">
        <v>782.15255105746587</v>
      </c>
      <c r="K506" s="39">
        <v>30.290573109650243</v>
      </c>
      <c r="L506" s="39">
        <v>3.9853107593788906</v>
      </c>
      <c r="M506" s="46" t="s">
        <v>539</v>
      </c>
      <c r="N506" s="46">
        <v>600.31400000000008</v>
      </c>
      <c r="O506" s="46">
        <v>752.17600000000004</v>
      </c>
      <c r="P506" s="47" t="s">
        <v>540</v>
      </c>
      <c r="Q506" s="47" t="s">
        <v>540</v>
      </c>
      <c r="R506" s="40"/>
      <c r="S506" s="38">
        <v>563.08999999999992</v>
      </c>
      <c r="T506" s="39"/>
      <c r="U506" s="39"/>
      <c r="V506" s="46" t="s">
        <v>539</v>
      </c>
      <c r="W506" s="46">
        <v>440.96300000000002</v>
      </c>
      <c r="X506" s="46">
        <v>513.16099999999994</v>
      </c>
      <c r="Y506" s="47" t="s">
        <v>540</v>
      </c>
      <c r="Z506" s="47" t="s">
        <v>540</v>
      </c>
      <c r="AA506" s="41" t="s">
        <v>540</v>
      </c>
      <c r="AB506" s="48" t="s">
        <v>540</v>
      </c>
      <c r="AC506" s="40"/>
      <c r="AD506" s="49">
        <v>361.06669999999997</v>
      </c>
      <c r="AE506" s="50">
        <v>25.386490625531732</v>
      </c>
      <c r="AF506" s="50">
        <v>8.7023160455321324</v>
      </c>
      <c r="AG506" s="43" t="s">
        <v>540</v>
      </c>
      <c r="AH506" s="43">
        <v>287.96300000000002</v>
      </c>
      <c r="AI506" s="43">
        <v>332.161</v>
      </c>
      <c r="AJ506" s="41" t="s">
        <v>539</v>
      </c>
      <c r="AK506" s="41" t="s">
        <v>539</v>
      </c>
      <c r="AL506" s="44"/>
      <c r="AM506" s="49">
        <v>361.06669999999997</v>
      </c>
      <c r="AN506" s="50">
        <v>25.386490625531732</v>
      </c>
      <c r="AO506" s="50">
        <v>8.7023160455321324</v>
      </c>
      <c r="AP506" s="43" t="s">
        <v>539</v>
      </c>
      <c r="AQ506" s="43">
        <v>287.96300000000002</v>
      </c>
      <c r="AR506" s="43">
        <v>332.161</v>
      </c>
      <c r="AS506" s="41" t="s">
        <v>539</v>
      </c>
      <c r="AT506" s="41" t="s">
        <v>539</v>
      </c>
      <c r="AU506" s="1">
        <v>18729.594237739999</v>
      </c>
    </row>
    <row r="507" spans="2:47" ht="18" customHeight="1" x14ac:dyDescent="0.25">
      <c r="B507" s="2"/>
      <c r="C507" s="45">
        <v>7311</v>
      </c>
      <c r="D507" s="45" t="s">
        <v>526</v>
      </c>
      <c r="E507" s="45" t="s">
        <v>533</v>
      </c>
      <c r="F507" s="45" t="s">
        <v>1061</v>
      </c>
      <c r="G507" s="45" t="s">
        <v>4</v>
      </c>
      <c r="H507" s="45" t="s">
        <v>529</v>
      </c>
      <c r="I507" s="37" t="s">
        <v>540</v>
      </c>
      <c r="J507" s="46" t="s">
        <v>539</v>
      </c>
      <c r="K507" s="39" t="s">
        <v>540</v>
      </c>
      <c r="L507" s="39" t="s">
        <v>540</v>
      </c>
      <c r="M507" s="46" t="s">
        <v>539</v>
      </c>
      <c r="N507" s="46">
        <v>1479.99</v>
      </c>
      <c r="O507" s="46">
        <v>1488.88</v>
      </c>
      <c r="P507" s="47" t="s">
        <v>540</v>
      </c>
      <c r="Q507" s="47" t="s">
        <v>540</v>
      </c>
      <c r="R507" s="40"/>
      <c r="S507" s="38" t="s">
        <v>539</v>
      </c>
      <c r="T507" s="39"/>
      <c r="U507" s="39"/>
      <c r="V507" s="46" t="s">
        <v>539</v>
      </c>
      <c r="W507" s="46">
        <v>800.02</v>
      </c>
      <c r="X507" s="46">
        <v>780.25</v>
      </c>
      <c r="Y507" s="47" t="s">
        <v>540</v>
      </c>
      <c r="Z507" s="47" t="s">
        <v>540</v>
      </c>
      <c r="AA507" s="41" t="s">
        <v>540</v>
      </c>
      <c r="AB507" s="48" t="s">
        <v>540</v>
      </c>
      <c r="AC507" s="40"/>
      <c r="AD507" s="49" t="s">
        <v>540</v>
      </c>
      <c r="AE507" s="50" t="s">
        <v>539</v>
      </c>
      <c r="AF507" s="50" t="s">
        <v>539</v>
      </c>
      <c r="AG507" s="43" t="s">
        <v>540</v>
      </c>
      <c r="AH507" s="43">
        <v>584.54</v>
      </c>
      <c r="AI507" s="43">
        <v>586.73</v>
      </c>
      <c r="AJ507" s="41" t="s">
        <v>539</v>
      </c>
      <c r="AK507" s="41" t="s">
        <v>539</v>
      </c>
      <c r="AL507" s="44"/>
      <c r="AM507" s="49" t="s">
        <v>539</v>
      </c>
      <c r="AN507" s="50" t="s">
        <v>539</v>
      </c>
      <c r="AO507" s="50" t="s">
        <v>539</v>
      </c>
      <c r="AP507" s="43" t="s">
        <v>539</v>
      </c>
      <c r="AQ507" s="43">
        <v>584.54</v>
      </c>
      <c r="AR507" s="43">
        <v>586.73</v>
      </c>
      <c r="AS507" s="41" t="s">
        <v>539</v>
      </c>
      <c r="AT507" s="41" t="s">
        <v>539</v>
      </c>
      <c r="AU507" s="1">
        <v>14001.535017045</v>
      </c>
    </row>
  </sheetData>
  <mergeCells count="9">
    <mergeCell ref="AG6:AK6"/>
    <mergeCell ref="AM6:AO6"/>
    <mergeCell ref="AP6:AT6"/>
    <mergeCell ref="D6:G6"/>
    <mergeCell ref="J6:L6"/>
    <mergeCell ref="M6:Q6"/>
    <mergeCell ref="S6:U6"/>
    <mergeCell ref="V6:AB6"/>
    <mergeCell ref="AD6:AF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 vs 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Nahata (YSEC)</dc:creator>
  <cp:lastModifiedBy>Hemant Nahata (YSEC)</cp:lastModifiedBy>
  <dcterms:created xsi:type="dcterms:W3CDTF">2026-04-16T10:43:53Z</dcterms:created>
  <dcterms:modified xsi:type="dcterms:W3CDTF">2026-04-16T10:44:19Z</dcterms:modified>
</cp:coreProperties>
</file>